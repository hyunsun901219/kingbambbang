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기준값" sheetId="2" state="visible" r:id="rId2"/>
    <sheet name="주간KPI" sheetId="3" state="visible" r:id="rId3"/>
    <sheet name="글별성과" sheetId="4" state="visible" r:id="rId4"/>
    <sheet name="키워드백로그" sheetId="5" state="visible" r:id="rId5"/>
    <sheet name="콘텐츠캘린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  <font>
      <name val="Arial"/>
      <color rgb="00008000"/>
    </font>
    <font>
      <name val="Arial"/>
      <b val="1"/>
      <color rgb="00FFFFFF"/>
    </font>
    <font>
      <name val="Arial"/>
      <i val="1"/>
      <color rgb="00595959"/>
    </font>
    <font>
      <name val="Arial"/>
      <color theme="1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2" borderId="1" pivotButton="0" quotePrefix="0" xfId="0"/>
    <xf numFmtId="0" fontId="4" fillId="0" borderId="1" pivotButton="0" quotePrefix="0" xfId="0"/>
    <xf numFmtId="164" fontId="4" fillId="2" borderId="1" pivotButton="0" quotePrefix="0" xfId="0"/>
    <xf numFmtId="164" fontId="4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165" fontId="8" fillId="0" borderId="1" pivotButton="0" quotePrefix="0" xfId="0"/>
    <xf numFmtId="3" fontId="4" fillId="2" borderId="1" pivotButton="0" quotePrefix="0" xfId="0"/>
    <xf numFmtId="3" fontId="5" fillId="0" borderId="1" pivotButton="0" quotePrefix="0" xfId="0"/>
    <xf numFmtId="164" fontId="8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6" fontId="4" fillId="2" borderId="1" pivotButton="0" quotePrefix="0" xfId="0"/>
    <xf numFmtId="165" fontId="9" fillId="0" borderId="1" pivotButton="0" quotePrefix="0" xfId="0"/>
    <xf numFmtId="0" fontId="9" fillId="0" borderId="1" pivotButton="0" quotePrefix="0" xfId="0"/>
    <xf numFmtId="3" fontId="9" fillId="0" borderId="1" pivotButton="0" quotePrefix="0" xfId="0"/>
    <xf numFmtId="164" fontId="9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165" fontId="4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3" fontId="4" fillId="2" borderId="0" pivotButton="0" quotePrefix="0" xfId="0"/>
    <xf numFmtId="165" fontId="2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블로그 KPI 트래커 (ETF·금융정책, 네이버 + 티스토리)</t>
        </is>
      </c>
    </row>
    <row r="2">
      <c r="A2" s="2" t="inlineStr">
        <is>
          <t>전략 문서: docs/블로그-성장전략-ETF금융.md</t>
        </is>
      </c>
    </row>
    <row r="3">
      <c r="A3" s="2" t="inlineStr"/>
    </row>
    <row r="4">
      <c r="A4" s="3" t="inlineStr">
        <is>
          <t>셀 색 구분</t>
        </is>
      </c>
    </row>
    <row r="5">
      <c r="A5" s="4" t="inlineStr">
        <is>
          <t>노란 배경 + 파란 글씨 = 직접 입력하는 칸</t>
        </is>
      </c>
    </row>
    <row r="6">
      <c r="A6" s="2" t="inlineStr">
        <is>
          <t>검정 글씨 = 수식 (수정하지 마세요)</t>
        </is>
      </c>
    </row>
    <row r="7">
      <c r="A7" s="5" t="inlineStr">
        <is>
          <t>초록 글씨 = 다른 시트에서 가져오는 값</t>
        </is>
      </c>
    </row>
    <row r="8">
      <c r="A8" s="2" t="inlineStr"/>
    </row>
    <row r="9">
      <c r="A9" s="3" t="inlineStr">
        <is>
          <t>순서</t>
        </is>
      </c>
    </row>
    <row r="10">
      <c r="A10" s="2" t="inlineStr">
        <is>
          <t>1) 1주차: '기준값' 시트에 최근 4주 평균 수치를 입력 → '주간KPI'의 목표치가 자동 계산됩니다</t>
        </is>
      </c>
    </row>
    <row r="11">
      <c r="A11" s="2" t="inlineStr">
        <is>
          <t>2) 매주 일요일: '주간KPI'에 지난주 실적 입력 → 달성률 확인</t>
        </is>
      </c>
    </row>
    <row r="12">
      <c r="A12" s="2" t="inlineStr">
        <is>
          <t>3) 글을 발행할 때마다 '글별성과'에 한 줄 추가, 2주 뒤 조회수·순위 기록 → '조치' 열 확인</t>
        </is>
      </c>
    </row>
    <row r="13">
      <c r="A13" s="2" t="inlineStr">
        <is>
          <t>4) 새 키워드 아이디어는 '키워드백로그'에 추가 → 우선순위 점수가 높은 것부터 작성</t>
        </is>
      </c>
    </row>
    <row r="14">
      <c r="A14" s="2" t="inlineStr"/>
    </row>
    <row r="15">
      <c r="A15" s="2" t="inlineStr">
        <is>
          <t>예시 행: 각 시트 첫 데이터 행(회색 기울임)은 입력 형식을 보여주는 예시입니다. 실제 데이터로 덮어쓰세요.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2" customWidth="1" min="4" max="4"/>
    <col width="12" customWidth="1" min="5" max="5"/>
    <col width="10" customWidth="1" min="6" max="6"/>
    <col width="42" customWidth="1" min="7" max="7"/>
  </cols>
  <sheetData>
    <row r="1">
      <c r="A1" s="1" t="inlineStr">
        <is>
          <t>기준값 (1주차 진단: 최근 4주 주간 평균)</t>
        </is>
      </c>
    </row>
    <row r="3" ht="32" customHeight="1">
      <c r="A3" s="6" t="inlineStr">
        <is>
          <t>지표</t>
        </is>
      </c>
      <c r="B3" s="6" t="inlineStr">
        <is>
          <t>기준값</t>
        </is>
      </c>
      <c r="C3" s="6" t="inlineStr">
        <is>
          <t>4주 목표 배수/증분</t>
        </is>
      </c>
      <c r="D3" s="6" t="inlineStr">
        <is>
          <t>8주 목표</t>
        </is>
      </c>
      <c r="E3" s="6" t="inlineStr">
        <is>
          <t>12주 목표</t>
        </is>
      </c>
      <c r="F3" s="6" t="inlineStr">
        <is>
          <t>단위</t>
        </is>
      </c>
      <c r="G3" s="6" t="inlineStr">
        <is>
          <t>어디서 확인</t>
        </is>
      </c>
    </row>
    <row r="4">
      <c r="A4" s="7" t="inlineStr">
        <is>
          <t>네이버 주간 조회수</t>
        </is>
      </c>
      <c r="B4" s="8" t="n"/>
      <c r="C4" s="9" t="n">
        <v>1.3</v>
      </c>
      <c r="D4" s="9" t="n">
        <v>1.8</v>
      </c>
      <c r="E4" s="9" t="n">
        <v>2.5</v>
      </c>
      <c r="F4" s="7" t="inlineStr">
        <is>
          <t>배수</t>
        </is>
      </c>
      <c r="G4" s="7" t="inlineStr">
        <is>
          <t>블로그 통계 → 조회수</t>
        </is>
      </c>
    </row>
    <row r="5">
      <c r="A5" s="7" t="inlineStr">
        <is>
          <t>네이버 홈피드 유입 비율</t>
        </is>
      </c>
      <c r="B5" s="10" t="n"/>
      <c r="C5" s="11" t="n">
        <v>0.05</v>
      </c>
      <c r="D5" s="11" t="n">
        <v>0.1</v>
      </c>
      <c r="E5" s="11" t="n">
        <v>0.15</v>
      </c>
      <c r="F5" s="7" t="inlineStr">
        <is>
          <t>+%p</t>
        </is>
      </c>
      <c r="G5" s="7" t="inlineStr">
        <is>
          <t>통계 → 유입분석 → 유입경로</t>
        </is>
      </c>
    </row>
    <row r="6">
      <c r="A6" s="7" t="inlineStr">
        <is>
          <t>AI 브리핑 인용 수(누적)</t>
        </is>
      </c>
      <c r="B6" s="8" t="n"/>
      <c r="C6" s="9" t="n">
        <v>1</v>
      </c>
      <c r="D6" s="9" t="n">
        <v>5</v>
      </c>
      <c r="E6" s="9" t="n">
        <v>15</v>
      </c>
      <c r="F6" s="7" t="inlineStr">
        <is>
          <t>건(절대)</t>
        </is>
      </c>
      <c r="G6" s="7" t="inlineStr">
        <is>
          <t>통계 / AI 활용 설정</t>
        </is>
      </c>
    </row>
    <row r="7">
      <c r="A7" s="7" t="inlineStr">
        <is>
          <t>티스토리 주간 방문자</t>
        </is>
      </c>
      <c r="B7" s="8" t="n"/>
      <c r="C7" s="9" t="n">
        <v>1.2</v>
      </c>
      <c r="D7" s="9" t="n">
        <v>2</v>
      </c>
      <c r="E7" s="9" t="n">
        <v>3</v>
      </c>
      <c r="F7" s="7" t="inlineStr">
        <is>
          <t>배수</t>
        </is>
      </c>
      <c r="G7" s="7" t="inlineStr">
        <is>
          <t>티스토리 관리 → 통계</t>
        </is>
      </c>
    </row>
    <row r="8">
      <c r="A8" s="7" t="inlineStr">
        <is>
          <t>구글 주간 노출수</t>
        </is>
      </c>
      <c r="B8" s="8" t="n"/>
      <c r="C8" s="9" t="n">
        <v>1.5</v>
      </c>
      <c r="D8" s="9" t="n">
        <v>3</v>
      </c>
      <c r="E8" s="9" t="n">
        <v>5</v>
      </c>
      <c r="F8" s="7" t="inlineStr">
        <is>
          <t>배수</t>
        </is>
      </c>
      <c r="G8" s="7" t="inlineStr">
        <is>
          <t>서치콘솔 → 실적</t>
        </is>
      </c>
    </row>
    <row r="9">
      <c r="A9" s="7" t="inlineStr">
        <is>
          <t>구글 평균 CTR</t>
        </is>
      </c>
      <c r="B9" s="10" t="n"/>
      <c r="C9" s="11" t="n">
        <v>0.02</v>
      </c>
      <c r="D9" s="11" t="n">
        <v>0.03</v>
      </c>
      <c r="E9" s="11" t="n">
        <v>0.035</v>
      </c>
      <c r="F9" s="7" t="inlineStr">
        <is>
          <t>절대</t>
        </is>
      </c>
      <c r="G9" s="7" t="inlineStr">
        <is>
          <t>서치콘솔 → 실적</t>
        </is>
      </c>
    </row>
    <row r="10">
      <c r="A10" s="7" t="inlineStr">
        <is>
          <t>평균 체류시간(초)</t>
        </is>
      </c>
      <c r="B10" s="8" t="n"/>
      <c r="C10" s="9" t="n">
        <v>90</v>
      </c>
      <c r="D10" s="9" t="n">
        <v>120</v>
      </c>
      <c r="E10" s="9" t="n">
        <v>150</v>
      </c>
      <c r="F10" s="7" t="inlineStr">
        <is>
          <t>초(절대)</t>
        </is>
      </c>
      <c r="G10" s="7" t="inlineStr">
        <is>
          <t>네이버 통계 → 사용자 분석</t>
        </is>
      </c>
    </row>
    <row r="12">
      <c r="A12" s="12" t="inlineStr">
        <is>
          <t>목표 배수 가정: AI 브리핑 이후 네이버 검색 유입 감소 추세(2026 보도 기준)를 감안한 보수적 추정치. 4주차 점검 후 조정하세요.</t>
        </is>
      </c>
    </row>
    <row r="13">
      <c r="A13" s="12" t="inlineStr">
        <is>
          <t>'기준값'은 사용자가 직접 입력 (블로그 통계). 비워두면 목표 칸은 빈칸으로 표시됩니다.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0" customWidth="1" min="4" max="4"/>
    <col width="9" customWidth="1" min="5" max="5"/>
    <col width="11" customWidth="1" min="6" max="6"/>
    <col width="9" customWidth="1" min="7" max="7"/>
    <col width="11" customWidth="1" min="8" max="8"/>
    <col width="8" customWidth="1" min="9" max="9"/>
    <col width="11" customWidth="1" min="10" max="10"/>
    <col width="10" customWidth="1" min="11" max="11"/>
    <col width="9" customWidth="1" min="12" max="12"/>
    <col width="11" customWidth="1" min="13" max="13"/>
    <col width="10" customWidth="1" min="14" max="14"/>
    <col width="8" customWidth="1" min="15" max="15"/>
    <col width="8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1" ht="32" customHeight="1">
      <c r="A1" s="6" t="inlineStr">
        <is>
          <t>주차</t>
        </is>
      </c>
      <c r="B1" s="6" t="inlineStr">
        <is>
          <t>시작일</t>
        </is>
      </c>
      <c r="C1" s="6" t="inlineStr">
        <is>
          <t>네이버 조회수</t>
        </is>
      </c>
      <c r="D1" s="6" t="inlineStr">
        <is>
          <t>목표</t>
        </is>
      </c>
      <c r="E1" s="6" t="inlineStr">
        <is>
          <t>달성률</t>
        </is>
      </c>
      <c r="F1" s="6" t="inlineStr">
        <is>
          <t>홈피드 유입비율</t>
        </is>
      </c>
      <c r="G1" s="6" t="inlineStr">
        <is>
          <t>목표</t>
        </is>
      </c>
      <c r="H1" s="6" t="inlineStr">
        <is>
          <t>AI브리핑 인용(누적)</t>
        </is>
      </c>
      <c r="I1" s="6" t="inlineStr">
        <is>
          <t>목표</t>
        </is>
      </c>
      <c r="J1" s="6" t="inlineStr">
        <is>
          <t>티스토리 방문자</t>
        </is>
      </c>
      <c r="K1" s="6" t="inlineStr">
        <is>
          <t>목표</t>
        </is>
      </c>
      <c r="L1" s="6" t="inlineStr">
        <is>
          <t>달성률</t>
        </is>
      </c>
      <c r="M1" s="6" t="inlineStr">
        <is>
          <t>구글 노출수</t>
        </is>
      </c>
      <c r="N1" s="6" t="inlineStr">
        <is>
          <t>구글 클릭수</t>
        </is>
      </c>
      <c r="O1" s="6" t="inlineStr">
        <is>
          <t>CTR</t>
        </is>
      </c>
      <c r="P1" s="6" t="inlineStr">
        <is>
          <t>CTR 목표</t>
        </is>
      </c>
      <c r="Q1" s="6" t="inlineStr">
        <is>
          <t>평균 게재순위</t>
        </is>
      </c>
      <c r="R1" s="6" t="inlineStr">
        <is>
          <t>체류시간(초)</t>
        </is>
      </c>
      <c r="S1" s="6" t="inlineStr">
        <is>
          <t>발행 수(N/T)</t>
        </is>
      </c>
      <c r="T1" s="6" t="inlineStr">
        <is>
          <t>메모</t>
        </is>
      </c>
    </row>
    <row r="2">
      <c r="A2" s="13" t="n">
        <v>1</v>
      </c>
      <c r="B2" s="14" t="n">
        <v>46300</v>
      </c>
      <c r="C2" s="15" t="n"/>
      <c r="D2" s="16">
        <f>IF(기준값!$B$4="","",ROUND(기준값!$B$4*기준값!$C$4,0))</f>
        <v/>
      </c>
      <c r="E2" s="17">
        <f>IF(OR(C2="",D2="",D2=0),"",C2/D2)</f>
        <v/>
      </c>
      <c r="F2" s="10" t="n"/>
      <c r="G2" s="18">
        <f>IF(기준값!$B$5="","",기준값!$B$5+기준값!$C$5)</f>
        <v/>
      </c>
      <c r="H2" s="8" t="n"/>
      <c r="I2" s="19">
        <f>기준값!$C$6</f>
        <v/>
      </c>
      <c r="J2" s="15" t="n"/>
      <c r="K2" s="16">
        <f>IF(기준값!$B$7="","",ROUND(기준값!$B$7*기준값!$C$7,0))</f>
        <v/>
      </c>
      <c r="L2" s="17">
        <f>IF(OR(J2="",K2="",K2=0),"",J2/K2)</f>
        <v/>
      </c>
      <c r="M2" s="15" t="n"/>
      <c r="N2" s="15" t="n"/>
      <c r="O2" s="17">
        <f>IF(OR(M2="",N2="",M2=0),"",N2/M2)</f>
        <v/>
      </c>
      <c r="P2" s="18">
        <f>기준값!$C$9</f>
        <v/>
      </c>
      <c r="Q2" s="20" t="n"/>
      <c r="R2" s="8" t="n"/>
      <c r="S2" s="8" t="n"/>
      <c r="T2" s="8" t="n"/>
    </row>
    <row r="3">
      <c r="A3" s="13" t="n">
        <v>2</v>
      </c>
      <c r="B3" s="14" t="n">
        <v>46307</v>
      </c>
      <c r="C3" s="15" t="n"/>
      <c r="D3" s="16">
        <f>IF(기준값!$B$4="","",ROUND(기준값!$B$4*기준값!$C$4,0))</f>
        <v/>
      </c>
      <c r="E3" s="17">
        <f>IF(OR(C3="",D3="",D3=0),"",C3/D3)</f>
        <v/>
      </c>
      <c r="F3" s="10" t="n"/>
      <c r="G3" s="18">
        <f>IF(기준값!$B$5="","",기준값!$B$5+기준값!$C$5)</f>
        <v/>
      </c>
      <c r="H3" s="8" t="n"/>
      <c r="I3" s="19">
        <f>기준값!$C$6</f>
        <v/>
      </c>
      <c r="J3" s="15" t="n"/>
      <c r="K3" s="16">
        <f>IF(기준값!$B$7="","",ROUND(기준값!$B$7*기준값!$C$7,0))</f>
        <v/>
      </c>
      <c r="L3" s="17">
        <f>IF(OR(J3="",K3="",K3=0),"",J3/K3)</f>
        <v/>
      </c>
      <c r="M3" s="15" t="n"/>
      <c r="N3" s="15" t="n"/>
      <c r="O3" s="17">
        <f>IF(OR(M3="",N3="",M3=0),"",N3/M3)</f>
        <v/>
      </c>
      <c r="P3" s="18">
        <f>기준값!$C$9</f>
        <v/>
      </c>
      <c r="Q3" s="20" t="n"/>
      <c r="R3" s="8" t="n"/>
      <c r="S3" s="8" t="n"/>
      <c r="T3" s="8" t="n"/>
    </row>
    <row r="4">
      <c r="A4" s="13" t="n">
        <v>3</v>
      </c>
      <c r="B4" s="14" t="n">
        <v>46314</v>
      </c>
      <c r="C4" s="15" t="n"/>
      <c r="D4" s="16">
        <f>IF(기준값!$B$4="","",ROUND(기준값!$B$4*기준값!$C$4,0))</f>
        <v/>
      </c>
      <c r="E4" s="17">
        <f>IF(OR(C4="",D4="",D4=0),"",C4/D4)</f>
        <v/>
      </c>
      <c r="F4" s="10" t="n"/>
      <c r="G4" s="18">
        <f>IF(기준값!$B$5="","",기준값!$B$5+기준값!$C$5)</f>
        <v/>
      </c>
      <c r="H4" s="8" t="n"/>
      <c r="I4" s="19">
        <f>기준값!$C$6</f>
        <v/>
      </c>
      <c r="J4" s="15" t="n"/>
      <c r="K4" s="16">
        <f>IF(기준값!$B$7="","",ROUND(기준값!$B$7*기준값!$C$7,0))</f>
        <v/>
      </c>
      <c r="L4" s="17">
        <f>IF(OR(J4="",K4="",K4=0),"",J4/K4)</f>
        <v/>
      </c>
      <c r="M4" s="15" t="n"/>
      <c r="N4" s="15" t="n"/>
      <c r="O4" s="17">
        <f>IF(OR(M4="",N4="",M4=0),"",N4/M4)</f>
        <v/>
      </c>
      <c r="P4" s="18">
        <f>기준값!$C$9</f>
        <v/>
      </c>
      <c r="Q4" s="20" t="n"/>
      <c r="R4" s="8" t="n"/>
      <c r="S4" s="8" t="n"/>
      <c r="T4" s="8" t="n"/>
    </row>
    <row r="5">
      <c r="A5" s="13" t="n">
        <v>4</v>
      </c>
      <c r="B5" s="14" t="n">
        <v>46321</v>
      </c>
      <c r="C5" s="15" t="n"/>
      <c r="D5" s="16">
        <f>IF(기준값!$B$4="","",ROUND(기준값!$B$4*기준값!$C$4,0))</f>
        <v/>
      </c>
      <c r="E5" s="17">
        <f>IF(OR(C5="",D5="",D5=0),"",C5/D5)</f>
        <v/>
      </c>
      <c r="F5" s="10" t="n"/>
      <c r="G5" s="18">
        <f>IF(기준값!$B$5="","",기준값!$B$5+기준값!$C$5)</f>
        <v/>
      </c>
      <c r="H5" s="8" t="n"/>
      <c r="I5" s="19">
        <f>기준값!$C$6</f>
        <v/>
      </c>
      <c r="J5" s="15" t="n"/>
      <c r="K5" s="16">
        <f>IF(기준값!$B$7="","",ROUND(기준값!$B$7*기준값!$C$7,0))</f>
        <v/>
      </c>
      <c r="L5" s="17">
        <f>IF(OR(J5="",K5="",K5=0),"",J5/K5)</f>
        <v/>
      </c>
      <c r="M5" s="15" t="n"/>
      <c r="N5" s="15" t="n"/>
      <c r="O5" s="17">
        <f>IF(OR(M5="",N5="",M5=0),"",N5/M5)</f>
        <v/>
      </c>
      <c r="P5" s="18">
        <f>기준값!$C$9</f>
        <v/>
      </c>
      <c r="Q5" s="20" t="n"/>
      <c r="R5" s="8" t="n"/>
      <c r="S5" s="8" t="n"/>
      <c r="T5" s="8" t="n"/>
    </row>
    <row r="6">
      <c r="A6" s="13" t="n">
        <v>5</v>
      </c>
      <c r="B6" s="14" t="n">
        <v>46328</v>
      </c>
      <c r="C6" s="15" t="n"/>
      <c r="D6" s="16">
        <f>IF(기준값!$B$4="","",ROUND(기준값!$B$4*기준값!$D$4,0))</f>
        <v/>
      </c>
      <c r="E6" s="17">
        <f>IF(OR(C6="",D6="",D6=0),"",C6/D6)</f>
        <v/>
      </c>
      <c r="F6" s="10" t="n"/>
      <c r="G6" s="18">
        <f>IF(기준값!$B$5="","",기준값!$B$5+기준값!$D$5)</f>
        <v/>
      </c>
      <c r="H6" s="8" t="n"/>
      <c r="I6" s="19">
        <f>기준값!$D$6</f>
        <v/>
      </c>
      <c r="J6" s="15" t="n"/>
      <c r="K6" s="16">
        <f>IF(기준값!$B$7="","",ROUND(기준값!$B$7*기준값!$D$7,0))</f>
        <v/>
      </c>
      <c r="L6" s="17">
        <f>IF(OR(J6="",K6="",K6=0),"",J6/K6)</f>
        <v/>
      </c>
      <c r="M6" s="15" t="n"/>
      <c r="N6" s="15" t="n"/>
      <c r="O6" s="17">
        <f>IF(OR(M6="",N6="",M6=0),"",N6/M6)</f>
        <v/>
      </c>
      <c r="P6" s="18">
        <f>기준값!$D$9</f>
        <v/>
      </c>
      <c r="Q6" s="20" t="n"/>
      <c r="R6" s="8" t="n"/>
      <c r="S6" s="8" t="n"/>
      <c r="T6" s="8" t="n"/>
    </row>
    <row r="7">
      <c r="A7" s="13" t="n">
        <v>6</v>
      </c>
      <c r="B7" s="14" t="n">
        <v>46335</v>
      </c>
      <c r="C7" s="15" t="n"/>
      <c r="D7" s="16">
        <f>IF(기준값!$B$4="","",ROUND(기준값!$B$4*기준값!$D$4,0))</f>
        <v/>
      </c>
      <c r="E7" s="17">
        <f>IF(OR(C7="",D7="",D7=0),"",C7/D7)</f>
        <v/>
      </c>
      <c r="F7" s="10" t="n"/>
      <c r="G7" s="18">
        <f>IF(기준값!$B$5="","",기준값!$B$5+기준값!$D$5)</f>
        <v/>
      </c>
      <c r="H7" s="8" t="n"/>
      <c r="I7" s="19">
        <f>기준값!$D$6</f>
        <v/>
      </c>
      <c r="J7" s="15" t="n"/>
      <c r="K7" s="16">
        <f>IF(기준값!$B$7="","",ROUND(기준값!$B$7*기준값!$D$7,0))</f>
        <v/>
      </c>
      <c r="L7" s="17">
        <f>IF(OR(J7="",K7="",K7=0),"",J7/K7)</f>
        <v/>
      </c>
      <c r="M7" s="15" t="n"/>
      <c r="N7" s="15" t="n"/>
      <c r="O7" s="17">
        <f>IF(OR(M7="",N7="",M7=0),"",N7/M7)</f>
        <v/>
      </c>
      <c r="P7" s="18">
        <f>기준값!$D$9</f>
        <v/>
      </c>
      <c r="Q7" s="20" t="n"/>
      <c r="R7" s="8" t="n"/>
      <c r="S7" s="8" t="n"/>
      <c r="T7" s="8" t="n"/>
    </row>
    <row r="8">
      <c r="A8" s="13" t="n">
        <v>7</v>
      </c>
      <c r="B8" s="14" t="n">
        <v>46342</v>
      </c>
      <c r="C8" s="15" t="n"/>
      <c r="D8" s="16">
        <f>IF(기준값!$B$4="","",ROUND(기준값!$B$4*기준값!$D$4,0))</f>
        <v/>
      </c>
      <c r="E8" s="17">
        <f>IF(OR(C8="",D8="",D8=0),"",C8/D8)</f>
        <v/>
      </c>
      <c r="F8" s="10" t="n"/>
      <c r="G8" s="18">
        <f>IF(기준값!$B$5="","",기준값!$B$5+기준값!$D$5)</f>
        <v/>
      </c>
      <c r="H8" s="8" t="n"/>
      <c r="I8" s="19">
        <f>기준값!$D$6</f>
        <v/>
      </c>
      <c r="J8" s="15" t="n"/>
      <c r="K8" s="16">
        <f>IF(기준값!$B$7="","",ROUND(기준값!$B$7*기준값!$D$7,0))</f>
        <v/>
      </c>
      <c r="L8" s="17">
        <f>IF(OR(J8="",K8="",K8=0),"",J8/K8)</f>
        <v/>
      </c>
      <c r="M8" s="15" t="n"/>
      <c r="N8" s="15" t="n"/>
      <c r="O8" s="17">
        <f>IF(OR(M8="",N8="",M8=0),"",N8/M8)</f>
        <v/>
      </c>
      <c r="P8" s="18">
        <f>기준값!$D$9</f>
        <v/>
      </c>
      <c r="Q8" s="20" t="n"/>
      <c r="R8" s="8" t="n"/>
      <c r="S8" s="8" t="n"/>
      <c r="T8" s="8" t="n"/>
    </row>
    <row r="9">
      <c r="A9" s="13" t="n">
        <v>8</v>
      </c>
      <c r="B9" s="14" t="n">
        <v>46349</v>
      </c>
      <c r="C9" s="15" t="n"/>
      <c r="D9" s="16">
        <f>IF(기준값!$B$4="","",ROUND(기준값!$B$4*기준값!$D$4,0))</f>
        <v/>
      </c>
      <c r="E9" s="17">
        <f>IF(OR(C9="",D9="",D9=0),"",C9/D9)</f>
        <v/>
      </c>
      <c r="F9" s="10" t="n"/>
      <c r="G9" s="18">
        <f>IF(기준값!$B$5="","",기준값!$B$5+기준값!$D$5)</f>
        <v/>
      </c>
      <c r="H9" s="8" t="n"/>
      <c r="I9" s="19">
        <f>기준값!$D$6</f>
        <v/>
      </c>
      <c r="J9" s="15" t="n"/>
      <c r="K9" s="16">
        <f>IF(기준값!$B$7="","",ROUND(기준값!$B$7*기준값!$D$7,0))</f>
        <v/>
      </c>
      <c r="L9" s="17">
        <f>IF(OR(J9="",K9="",K9=0),"",J9/K9)</f>
        <v/>
      </c>
      <c r="M9" s="15" t="n"/>
      <c r="N9" s="15" t="n"/>
      <c r="O9" s="17">
        <f>IF(OR(M9="",N9="",M9=0),"",N9/M9)</f>
        <v/>
      </c>
      <c r="P9" s="18">
        <f>기준값!$D$9</f>
        <v/>
      </c>
      <c r="Q9" s="20" t="n"/>
      <c r="R9" s="8" t="n"/>
      <c r="S9" s="8" t="n"/>
      <c r="T9" s="8" t="n"/>
    </row>
    <row r="10">
      <c r="A10" s="13" t="n">
        <v>9</v>
      </c>
      <c r="B10" s="14" t="n">
        <v>46356</v>
      </c>
      <c r="C10" s="15" t="n"/>
      <c r="D10" s="16">
        <f>IF(기준값!$B$4="","",ROUND(기준값!$B$4*기준값!$E$4,0))</f>
        <v/>
      </c>
      <c r="E10" s="17">
        <f>IF(OR(C10="",D10="",D10=0),"",C10/D10)</f>
        <v/>
      </c>
      <c r="F10" s="10" t="n"/>
      <c r="G10" s="18">
        <f>IF(기준값!$B$5="","",기준값!$B$5+기준값!$E$5)</f>
        <v/>
      </c>
      <c r="H10" s="8" t="n"/>
      <c r="I10" s="19">
        <f>기준값!$E$6</f>
        <v/>
      </c>
      <c r="J10" s="15" t="n"/>
      <c r="K10" s="16">
        <f>IF(기준값!$B$7="","",ROUND(기준값!$B$7*기준값!$E$7,0))</f>
        <v/>
      </c>
      <c r="L10" s="17">
        <f>IF(OR(J10="",K10="",K10=0),"",J10/K10)</f>
        <v/>
      </c>
      <c r="M10" s="15" t="n"/>
      <c r="N10" s="15" t="n"/>
      <c r="O10" s="17">
        <f>IF(OR(M10="",N10="",M10=0),"",N10/M10)</f>
        <v/>
      </c>
      <c r="P10" s="18">
        <f>기준값!$E$9</f>
        <v/>
      </c>
      <c r="Q10" s="20" t="n"/>
      <c r="R10" s="8" t="n"/>
      <c r="S10" s="8" t="n"/>
      <c r="T10" s="8" t="n"/>
    </row>
    <row r="11">
      <c r="A11" s="13" t="n">
        <v>10</v>
      </c>
      <c r="B11" s="14" t="n">
        <v>46363</v>
      </c>
      <c r="C11" s="15" t="n"/>
      <c r="D11" s="16">
        <f>IF(기준값!$B$4="","",ROUND(기준값!$B$4*기준값!$E$4,0))</f>
        <v/>
      </c>
      <c r="E11" s="17">
        <f>IF(OR(C11="",D11="",D11=0),"",C11/D11)</f>
        <v/>
      </c>
      <c r="F11" s="10" t="n"/>
      <c r="G11" s="18">
        <f>IF(기준값!$B$5="","",기준값!$B$5+기준값!$E$5)</f>
        <v/>
      </c>
      <c r="H11" s="8" t="n"/>
      <c r="I11" s="19">
        <f>기준값!$E$6</f>
        <v/>
      </c>
      <c r="J11" s="15" t="n"/>
      <c r="K11" s="16">
        <f>IF(기준값!$B$7="","",ROUND(기준값!$B$7*기준값!$E$7,0))</f>
        <v/>
      </c>
      <c r="L11" s="17">
        <f>IF(OR(J11="",K11="",K11=0),"",J11/K11)</f>
        <v/>
      </c>
      <c r="M11" s="15" t="n"/>
      <c r="N11" s="15" t="n"/>
      <c r="O11" s="17">
        <f>IF(OR(M11="",N11="",M11=0),"",N11/M11)</f>
        <v/>
      </c>
      <c r="P11" s="18">
        <f>기준값!$E$9</f>
        <v/>
      </c>
      <c r="Q11" s="20" t="n"/>
      <c r="R11" s="8" t="n"/>
      <c r="S11" s="8" t="n"/>
      <c r="T11" s="8" t="n"/>
    </row>
    <row r="12">
      <c r="A12" s="13" t="n">
        <v>11</v>
      </c>
      <c r="B12" s="14" t="n">
        <v>46370</v>
      </c>
      <c r="C12" s="15" t="n"/>
      <c r="D12" s="16">
        <f>IF(기준값!$B$4="","",ROUND(기준값!$B$4*기준값!$E$4,0))</f>
        <v/>
      </c>
      <c r="E12" s="17">
        <f>IF(OR(C12="",D12="",D12=0),"",C12/D12)</f>
        <v/>
      </c>
      <c r="F12" s="10" t="n"/>
      <c r="G12" s="18">
        <f>IF(기준값!$B$5="","",기준값!$B$5+기준값!$E$5)</f>
        <v/>
      </c>
      <c r="H12" s="8" t="n"/>
      <c r="I12" s="19">
        <f>기준값!$E$6</f>
        <v/>
      </c>
      <c r="J12" s="15" t="n"/>
      <c r="K12" s="16">
        <f>IF(기준값!$B$7="","",ROUND(기준값!$B$7*기준값!$E$7,0))</f>
        <v/>
      </c>
      <c r="L12" s="17">
        <f>IF(OR(J12="",K12="",K12=0),"",J12/K12)</f>
        <v/>
      </c>
      <c r="M12" s="15" t="n"/>
      <c r="N12" s="15" t="n"/>
      <c r="O12" s="17">
        <f>IF(OR(M12="",N12="",M12=0),"",N12/M12)</f>
        <v/>
      </c>
      <c r="P12" s="18">
        <f>기준값!$E$9</f>
        <v/>
      </c>
      <c r="Q12" s="20" t="n"/>
      <c r="R12" s="8" t="n"/>
      <c r="S12" s="8" t="n"/>
      <c r="T12" s="8" t="n"/>
    </row>
    <row r="13">
      <c r="A13" s="13" t="n">
        <v>12</v>
      </c>
      <c r="B13" s="14" t="n">
        <v>46377</v>
      </c>
      <c r="C13" s="15" t="n"/>
      <c r="D13" s="16">
        <f>IF(기준값!$B$4="","",ROUND(기준값!$B$4*기준값!$E$4,0))</f>
        <v/>
      </c>
      <c r="E13" s="17">
        <f>IF(OR(C13="",D13="",D13=0),"",C13/D13)</f>
        <v/>
      </c>
      <c r="F13" s="10" t="n"/>
      <c r="G13" s="18">
        <f>IF(기준값!$B$5="","",기준값!$B$5+기준값!$E$5)</f>
        <v/>
      </c>
      <c r="H13" s="8" t="n"/>
      <c r="I13" s="19">
        <f>기준값!$E$6</f>
        <v/>
      </c>
      <c r="J13" s="15" t="n"/>
      <c r="K13" s="16">
        <f>IF(기준값!$B$7="","",ROUND(기준값!$B$7*기준값!$E$7,0))</f>
        <v/>
      </c>
      <c r="L13" s="17">
        <f>IF(OR(J13="",K13="",K13=0),"",J13/K13)</f>
        <v/>
      </c>
      <c r="M13" s="15" t="n"/>
      <c r="N13" s="15" t="n"/>
      <c r="O13" s="17">
        <f>IF(OR(M13="",N13="",M13=0),"",N13/M13)</f>
        <v/>
      </c>
      <c r="P13" s="18">
        <f>기준값!$E$9</f>
        <v/>
      </c>
      <c r="Q13" s="20" t="n"/>
      <c r="R13" s="8" t="n"/>
      <c r="S13" s="8" t="n"/>
      <c r="T13" s="8" t="n"/>
    </row>
    <row r="15">
      <c r="A15" s="12" t="inlineStr">
        <is>
          <t>목표 = 기준값 × 구간별 배수 (1~4주: 4주 목표, 5~8주: 8주 목표, 9~12주: 12주 목표). 달성률 80% 미만 빨강, 100% 이상 초록.</t>
        </is>
      </c>
    </row>
  </sheetData>
  <conditionalFormatting sqref="E2:E13">
    <cfRule type="cellIs" priority="1" operator="between" dxfId="0">
      <formula>0.0001</formula>
      <formula>0.8</formula>
    </cfRule>
    <cfRule type="cellIs" priority="2" operator="greaterThanOrEqual" dxfId="1">
      <formula>1</formula>
    </cfRule>
  </conditionalFormatting>
  <conditionalFormatting sqref="L2:L13">
    <cfRule type="cellIs" priority="3" operator="between" dxfId="0">
      <formula>0.0001</formula>
      <formula>0.8</formula>
    </cfRule>
    <cfRule type="cellIs" priority="4" operator="greaterThanOrEqual" dxfId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44" customWidth="1" min="4" max="4"/>
    <col width="20" customWidth="1" min="5" max="5"/>
    <col width="30" customWidth="1" min="6" max="6"/>
    <col width="10" customWidth="1" min="7" max="7"/>
    <col width="10" customWidth="1" min="8" max="8"/>
    <col width="11" customWidth="1" min="9" max="9"/>
    <col width="10" customWidth="1" min="10" max="10"/>
    <col width="9" customWidth="1" min="11" max="11"/>
    <col width="10" customWidth="1" min="12" max="12"/>
    <col width="11" customWidth="1" min="13" max="13"/>
    <col width="34" customWidth="1" min="14" max="14"/>
    <col width="58" customWidth="1" min="16" max="16"/>
  </cols>
  <sheetData>
    <row r="1" ht="32" customHeight="1">
      <c r="A1" s="6" t="inlineStr">
        <is>
          <t>발행일</t>
        </is>
      </c>
      <c r="B1" s="6" t="inlineStr">
        <is>
          <t>플랫폼</t>
        </is>
      </c>
      <c r="C1" s="6" t="inlineStr">
        <is>
          <t>클러스터</t>
        </is>
      </c>
      <c r="D1" s="6" t="inlineStr">
        <is>
          <t>제목</t>
        </is>
      </c>
      <c r="E1" s="6" t="inlineStr">
        <is>
          <t>메인 키워드</t>
        </is>
      </c>
      <c r="F1" s="6" t="inlineStr">
        <is>
          <t>URL</t>
        </is>
      </c>
      <c r="G1" s="6" t="inlineStr">
        <is>
          <t>2주 조회수</t>
        </is>
      </c>
      <c r="H1" s="6" t="inlineStr">
        <is>
          <t>4주 조회수</t>
        </is>
      </c>
      <c r="I1" s="6" t="inlineStr">
        <is>
          <t>구글 게재순위</t>
        </is>
      </c>
      <c r="J1" s="6" t="inlineStr">
        <is>
          <t>구글 노출</t>
        </is>
      </c>
      <c r="K1" s="6" t="inlineStr">
        <is>
          <t>구글 CTR</t>
        </is>
      </c>
      <c r="L1" s="6" t="inlineStr">
        <is>
          <t>AI브리핑 인용</t>
        </is>
      </c>
      <c r="M1" s="6" t="inlineStr">
        <is>
          <t>업데이트일</t>
        </is>
      </c>
      <c r="N1" s="6" t="inlineStr">
        <is>
          <t>조치</t>
        </is>
      </c>
      <c r="P1" s="3" t="inlineStr">
        <is>
          <t>판단 규칙</t>
        </is>
      </c>
    </row>
    <row r="2">
      <c r="A2" s="21" t="n">
        <v>46301</v>
      </c>
      <c r="B2" s="22" t="inlineStr">
        <is>
          <t>네이버</t>
        </is>
      </c>
      <c r="C2" s="22" t="inlineStr">
        <is>
          <t>A.ISA</t>
        </is>
      </c>
      <c r="D2" s="22" t="inlineStr">
        <is>
          <t>ISA 개편 철회 총정리 (9/1 확정): 기존 가입자가 할 일 3가지</t>
        </is>
      </c>
      <c r="E2" s="22" t="inlineStr">
        <is>
          <t>ISA 개편 철회</t>
        </is>
      </c>
      <c r="F2" s="22" t="inlineStr">
        <is>
          <t>https://blog.naver.com/(내 블로그)/(글번호)</t>
        </is>
      </c>
      <c r="G2" s="23" t="n">
        <v>850</v>
      </c>
      <c r="H2" s="23" t="n">
        <v>1400</v>
      </c>
      <c r="I2" s="22" t="n"/>
      <c r="J2" s="22" t="n"/>
      <c r="K2" s="24" t="n"/>
      <c r="L2" s="22" t="inlineStr">
        <is>
          <t>Y</t>
        </is>
      </c>
      <c r="M2" s="21" t="n"/>
      <c r="N2" s="7">
        <f>IF(D2="","",IF(AND(J2&lt;&gt;"",J2&gt;=100,K2&lt;&gt;"",K2&lt;0.02),"제목·메타설명 수정",IF(AND(I2&lt;&gt;"",I2&gt;=8,I2&lt;=20),"본문 보강(표·FAQ·경험)",IF(AND(G2&lt;&gt;"",COUNT($G$2:$G$300)&gt;=5,G2&lt;=PERCENTILE($G$2:$G$300,0.3)),"하위30%: 제목·첫문단 수정","유지"))))</f>
        <v/>
      </c>
      <c r="P2" s="2" t="inlineStr">
        <is>
          <t>구글 노출 ≥100 &amp; CTR &lt;2% → 제목·메타설명 수정</t>
        </is>
      </c>
    </row>
    <row r="3">
      <c r="A3" s="25" t="n"/>
      <c r="B3" s="9" t="n"/>
      <c r="C3" s="9" t="n"/>
      <c r="D3" s="9" t="n"/>
      <c r="E3" s="9" t="n"/>
      <c r="F3" s="9" t="n"/>
      <c r="G3" s="26" t="n"/>
      <c r="H3" s="26" t="n"/>
      <c r="I3" s="9" t="n"/>
      <c r="J3" s="9" t="n"/>
      <c r="K3" s="11" t="n"/>
      <c r="L3" s="9" t="n"/>
      <c r="M3" s="25" t="n"/>
      <c r="N3" s="7">
        <f>IF(D3="","",IF(AND(J3&lt;&gt;"",J3&gt;=100,K3&lt;&gt;"",K3&lt;0.02),"제목·메타설명 수정",IF(AND(I3&lt;&gt;"",I3&gt;=8,I3&lt;=20),"본문 보강(표·FAQ·경험)",IF(AND(G3&lt;&gt;"",COUNT($G$2:$G$300)&gt;=5,G3&lt;=PERCENTILE($G$2:$G$300,0.3)),"하위30%: 제목·첫문단 수정","유지"))))</f>
        <v/>
      </c>
      <c r="P3" s="2" t="inlineStr">
        <is>
          <t>구글 게재순위 8~20위 → 본문 보강</t>
        </is>
      </c>
    </row>
    <row r="4">
      <c r="A4" s="25" t="n"/>
      <c r="B4" s="9" t="n"/>
      <c r="C4" s="9" t="n"/>
      <c r="D4" s="9" t="n"/>
      <c r="E4" s="9" t="n"/>
      <c r="F4" s="9" t="n"/>
      <c r="G4" s="26" t="n"/>
      <c r="H4" s="26" t="n"/>
      <c r="I4" s="9" t="n"/>
      <c r="J4" s="9" t="n"/>
      <c r="K4" s="11" t="n"/>
      <c r="L4" s="9" t="n"/>
      <c r="M4" s="25" t="n"/>
      <c r="N4" s="7">
        <f>IF(D4="","",IF(AND(J4&lt;&gt;"",J4&gt;=100,K4&lt;&gt;"",K4&lt;0.02),"제목·메타설명 수정",IF(AND(I4&lt;&gt;"",I4&gt;=8,I4&lt;=20),"본문 보강(표·FAQ·경험)",IF(AND(G4&lt;&gt;"",COUNT($G$2:$G$300)&gt;=5,G4&lt;=PERCENTILE($G$2:$G$300,0.3)),"하위30%: 제목·첫문단 수정","유지"))))</f>
        <v/>
      </c>
      <c r="P4" s="2" t="inlineStr">
        <is>
          <t>2주 조회수 하위 30% (글 5개 이상일 때) → 제목·첫 문단 수정</t>
        </is>
      </c>
    </row>
    <row r="5">
      <c r="A5" s="25" t="n"/>
      <c r="B5" s="9" t="n"/>
      <c r="C5" s="9" t="n"/>
      <c r="D5" s="9" t="n"/>
      <c r="E5" s="9" t="n"/>
      <c r="F5" s="9" t="n"/>
      <c r="G5" s="26" t="n"/>
      <c r="H5" s="26" t="n"/>
      <c r="I5" s="9" t="n"/>
      <c r="J5" s="9" t="n"/>
      <c r="K5" s="11" t="n"/>
      <c r="L5" s="9" t="n"/>
      <c r="M5" s="25" t="n"/>
      <c r="N5" s="7">
        <f>IF(D5="","",IF(AND(J5&lt;&gt;"",J5&gt;=100,K5&lt;&gt;"",K5&lt;0.02),"제목·메타설명 수정",IF(AND(I5&lt;&gt;"",I5&gt;=8,I5&lt;=20),"본문 보강(표·FAQ·경험)",IF(AND(G5&lt;&gt;"",COUNT($G$2:$G$300)&gt;=5,G5&lt;=PERCENTILE($G$2:$G$300,0.3)),"하위30%: 제목·첫문단 수정","유지"))))</f>
        <v/>
      </c>
      <c r="P5" s="2" t="inlineStr">
        <is>
          <t>정책 변경 시 관련 글 48시간 안에 업데이트 (업데이트일 기록)</t>
        </is>
      </c>
    </row>
    <row r="6">
      <c r="A6" s="25" t="n"/>
      <c r="B6" s="9" t="n"/>
      <c r="C6" s="9" t="n"/>
      <c r="D6" s="9" t="n"/>
      <c r="E6" s="9" t="n"/>
      <c r="F6" s="9" t="n"/>
      <c r="G6" s="26" t="n"/>
      <c r="H6" s="26" t="n"/>
      <c r="I6" s="9" t="n"/>
      <c r="J6" s="9" t="n"/>
      <c r="K6" s="11" t="n"/>
      <c r="L6" s="9" t="n"/>
      <c r="M6" s="25" t="n"/>
      <c r="N6" s="7">
        <f>IF(D6="","",IF(AND(J6&lt;&gt;"",J6&gt;=100,K6&lt;&gt;"",K6&lt;0.02),"제목·메타설명 수정",IF(AND(I6&lt;&gt;"",I6&gt;=8,I6&lt;=20),"본문 보강(표·FAQ·경험)",IF(AND(G6&lt;&gt;"",COUNT($G$2:$G$300)&gt;=5,G6&lt;=PERCENTILE($G$2:$G$300,0.3)),"하위30%: 제목·첫문단 수정","유지"))))</f>
        <v/>
      </c>
      <c r="P6" s="2" t="inlineStr">
        <is>
          <t>2행은 예시입니다 (수치는 가상). 덮어쓰세요.</t>
        </is>
      </c>
    </row>
    <row r="7">
      <c r="A7" s="25" t="n"/>
      <c r="B7" s="9" t="n"/>
      <c r="C7" s="9" t="n"/>
      <c r="D7" s="9" t="n"/>
      <c r="E7" s="9" t="n"/>
      <c r="F7" s="9" t="n"/>
      <c r="G7" s="26" t="n"/>
      <c r="H7" s="26" t="n"/>
      <c r="I7" s="9" t="n"/>
      <c r="J7" s="9" t="n"/>
      <c r="K7" s="11" t="n"/>
      <c r="L7" s="9" t="n"/>
      <c r="M7" s="25" t="n"/>
      <c r="N7" s="7">
        <f>IF(D7="","",IF(AND(J7&lt;&gt;"",J7&gt;=100,K7&lt;&gt;"",K7&lt;0.02),"제목·메타설명 수정",IF(AND(I7&lt;&gt;"",I7&gt;=8,I7&lt;=20),"본문 보강(표·FAQ·경험)",IF(AND(G7&lt;&gt;"",COUNT($G$2:$G$300)&gt;=5,G7&lt;=PERCENTILE($G$2:$G$300,0.3)),"하위30%: 제목·첫문단 수정","유지"))))</f>
        <v/>
      </c>
    </row>
    <row r="8">
      <c r="A8" s="25" t="n"/>
      <c r="B8" s="9" t="n"/>
      <c r="C8" s="9" t="n"/>
      <c r="D8" s="9" t="n"/>
      <c r="E8" s="9" t="n"/>
      <c r="F8" s="9" t="n"/>
      <c r="G8" s="26" t="n"/>
      <c r="H8" s="26" t="n"/>
      <c r="I8" s="9" t="n"/>
      <c r="J8" s="9" t="n"/>
      <c r="K8" s="11" t="n"/>
      <c r="L8" s="9" t="n"/>
      <c r="M8" s="25" t="n"/>
      <c r="N8" s="7">
        <f>IF(D8="","",IF(AND(J8&lt;&gt;"",J8&gt;=100,K8&lt;&gt;"",K8&lt;0.02),"제목·메타설명 수정",IF(AND(I8&lt;&gt;"",I8&gt;=8,I8&lt;=20),"본문 보강(표·FAQ·경험)",IF(AND(G8&lt;&gt;"",COUNT($G$2:$G$300)&gt;=5,G8&lt;=PERCENTILE($G$2:$G$300,0.3)),"하위30%: 제목·첫문단 수정","유지"))))</f>
        <v/>
      </c>
    </row>
    <row r="9">
      <c r="A9" s="25" t="n"/>
      <c r="B9" s="9" t="n"/>
      <c r="C9" s="9" t="n"/>
      <c r="D9" s="9" t="n"/>
      <c r="E9" s="9" t="n"/>
      <c r="F9" s="9" t="n"/>
      <c r="G9" s="26" t="n"/>
      <c r="H9" s="26" t="n"/>
      <c r="I9" s="9" t="n"/>
      <c r="J9" s="9" t="n"/>
      <c r="K9" s="11" t="n"/>
      <c r="L9" s="9" t="n"/>
      <c r="M9" s="25" t="n"/>
      <c r="N9" s="7">
        <f>IF(D9="","",IF(AND(J9&lt;&gt;"",J9&gt;=100,K9&lt;&gt;"",K9&lt;0.02),"제목·메타설명 수정",IF(AND(I9&lt;&gt;"",I9&gt;=8,I9&lt;=20),"본문 보강(표·FAQ·경험)",IF(AND(G9&lt;&gt;"",COUNT($G$2:$G$300)&gt;=5,G9&lt;=PERCENTILE($G$2:$G$300,0.3)),"하위30%: 제목·첫문단 수정","유지"))))</f>
        <v/>
      </c>
    </row>
    <row r="10">
      <c r="A10" s="25" t="n"/>
      <c r="B10" s="9" t="n"/>
      <c r="C10" s="9" t="n"/>
      <c r="D10" s="9" t="n"/>
      <c r="E10" s="9" t="n"/>
      <c r="F10" s="9" t="n"/>
      <c r="G10" s="26" t="n"/>
      <c r="H10" s="26" t="n"/>
      <c r="I10" s="9" t="n"/>
      <c r="J10" s="9" t="n"/>
      <c r="K10" s="11" t="n"/>
      <c r="L10" s="9" t="n"/>
      <c r="M10" s="25" t="n"/>
      <c r="N10" s="7">
        <f>IF(D10="","",IF(AND(J10&lt;&gt;"",J10&gt;=100,K10&lt;&gt;"",K10&lt;0.02),"제목·메타설명 수정",IF(AND(I10&lt;&gt;"",I10&gt;=8,I10&lt;=20),"본문 보강(표·FAQ·경험)",IF(AND(G10&lt;&gt;"",COUNT($G$2:$G$300)&gt;=5,G10&lt;=PERCENTILE($G$2:$G$300,0.3)),"하위30%: 제목·첫문단 수정","유지"))))</f>
        <v/>
      </c>
    </row>
    <row r="11">
      <c r="A11" s="25" t="n"/>
      <c r="B11" s="9" t="n"/>
      <c r="C11" s="9" t="n"/>
      <c r="D11" s="9" t="n"/>
      <c r="E11" s="9" t="n"/>
      <c r="F11" s="9" t="n"/>
      <c r="G11" s="26" t="n"/>
      <c r="H11" s="26" t="n"/>
      <c r="I11" s="9" t="n"/>
      <c r="J11" s="9" t="n"/>
      <c r="K11" s="11" t="n"/>
      <c r="L11" s="9" t="n"/>
      <c r="M11" s="25" t="n"/>
      <c r="N11" s="7">
        <f>IF(D11="","",IF(AND(J11&lt;&gt;"",J11&gt;=100,K11&lt;&gt;"",K11&lt;0.02),"제목·메타설명 수정",IF(AND(I11&lt;&gt;"",I11&gt;=8,I11&lt;=20),"본문 보강(표·FAQ·경험)",IF(AND(G11&lt;&gt;"",COUNT($G$2:$G$300)&gt;=5,G11&lt;=PERCENTILE($G$2:$G$300,0.3)),"하위30%: 제목·첫문단 수정","유지"))))</f>
        <v/>
      </c>
    </row>
    <row r="12">
      <c r="A12" s="25" t="n"/>
      <c r="B12" s="9" t="n"/>
      <c r="C12" s="9" t="n"/>
      <c r="D12" s="9" t="n"/>
      <c r="E12" s="9" t="n"/>
      <c r="F12" s="9" t="n"/>
      <c r="G12" s="26" t="n"/>
      <c r="H12" s="26" t="n"/>
      <c r="I12" s="9" t="n"/>
      <c r="J12" s="9" t="n"/>
      <c r="K12" s="11" t="n"/>
      <c r="L12" s="9" t="n"/>
      <c r="M12" s="25" t="n"/>
      <c r="N12" s="7">
        <f>IF(D12="","",IF(AND(J12&lt;&gt;"",J12&gt;=100,K12&lt;&gt;"",K12&lt;0.02),"제목·메타설명 수정",IF(AND(I12&lt;&gt;"",I12&gt;=8,I12&lt;=20),"본문 보강(표·FAQ·경험)",IF(AND(G12&lt;&gt;"",COUNT($G$2:$G$300)&gt;=5,G12&lt;=PERCENTILE($G$2:$G$300,0.3)),"하위30%: 제목·첫문단 수정","유지"))))</f>
        <v/>
      </c>
    </row>
    <row r="13">
      <c r="A13" s="25" t="n"/>
      <c r="B13" s="9" t="n"/>
      <c r="C13" s="9" t="n"/>
      <c r="D13" s="9" t="n"/>
      <c r="E13" s="9" t="n"/>
      <c r="F13" s="9" t="n"/>
      <c r="G13" s="26" t="n"/>
      <c r="H13" s="26" t="n"/>
      <c r="I13" s="9" t="n"/>
      <c r="J13" s="9" t="n"/>
      <c r="K13" s="11" t="n"/>
      <c r="L13" s="9" t="n"/>
      <c r="M13" s="25" t="n"/>
      <c r="N13" s="7">
        <f>IF(D13="","",IF(AND(J13&lt;&gt;"",J13&gt;=100,K13&lt;&gt;"",K13&lt;0.02),"제목·메타설명 수정",IF(AND(I13&lt;&gt;"",I13&gt;=8,I13&lt;=20),"본문 보강(표·FAQ·경험)",IF(AND(G13&lt;&gt;"",COUNT($G$2:$G$300)&gt;=5,G13&lt;=PERCENTILE($G$2:$G$300,0.3)),"하위30%: 제목·첫문단 수정","유지"))))</f>
        <v/>
      </c>
    </row>
    <row r="14">
      <c r="A14" s="25" t="n"/>
      <c r="B14" s="9" t="n"/>
      <c r="C14" s="9" t="n"/>
      <c r="D14" s="9" t="n"/>
      <c r="E14" s="9" t="n"/>
      <c r="F14" s="9" t="n"/>
      <c r="G14" s="26" t="n"/>
      <c r="H14" s="26" t="n"/>
      <c r="I14" s="9" t="n"/>
      <c r="J14" s="9" t="n"/>
      <c r="K14" s="11" t="n"/>
      <c r="L14" s="9" t="n"/>
      <c r="M14" s="25" t="n"/>
      <c r="N14" s="7">
        <f>IF(D14="","",IF(AND(J14&lt;&gt;"",J14&gt;=100,K14&lt;&gt;"",K14&lt;0.02),"제목·메타설명 수정",IF(AND(I14&lt;&gt;"",I14&gt;=8,I14&lt;=20),"본문 보강(표·FAQ·경험)",IF(AND(G14&lt;&gt;"",COUNT($G$2:$G$300)&gt;=5,G14&lt;=PERCENTILE($G$2:$G$300,0.3)),"하위30%: 제목·첫문단 수정","유지"))))</f>
        <v/>
      </c>
    </row>
    <row r="15">
      <c r="A15" s="25" t="n"/>
      <c r="B15" s="9" t="n"/>
      <c r="C15" s="9" t="n"/>
      <c r="D15" s="9" t="n"/>
      <c r="E15" s="9" t="n"/>
      <c r="F15" s="9" t="n"/>
      <c r="G15" s="26" t="n"/>
      <c r="H15" s="26" t="n"/>
      <c r="I15" s="9" t="n"/>
      <c r="J15" s="9" t="n"/>
      <c r="K15" s="11" t="n"/>
      <c r="L15" s="9" t="n"/>
      <c r="M15" s="25" t="n"/>
      <c r="N15" s="7">
        <f>IF(D15="","",IF(AND(J15&lt;&gt;"",J15&gt;=100,K15&lt;&gt;"",K15&lt;0.02),"제목·메타설명 수정",IF(AND(I15&lt;&gt;"",I15&gt;=8,I15&lt;=20),"본문 보강(표·FAQ·경험)",IF(AND(G15&lt;&gt;"",COUNT($G$2:$G$300)&gt;=5,G15&lt;=PERCENTILE($G$2:$G$300,0.3)),"하위30%: 제목·첫문단 수정","유지"))))</f>
        <v/>
      </c>
    </row>
    <row r="16">
      <c r="A16" s="25" t="n"/>
      <c r="B16" s="9" t="n"/>
      <c r="C16" s="9" t="n"/>
      <c r="D16" s="9" t="n"/>
      <c r="E16" s="9" t="n"/>
      <c r="F16" s="9" t="n"/>
      <c r="G16" s="26" t="n"/>
      <c r="H16" s="26" t="n"/>
      <c r="I16" s="9" t="n"/>
      <c r="J16" s="9" t="n"/>
      <c r="K16" s="11" t="n"/>
      <c r="L16" s="9" t="n"/>
      <c r="M16" s="25" t="n"/>
      <c r="N16" s="7">
        <f>IF(D16="","",IF(AND(J16&lt;&gt;"",J16&gt;=100,K16&lt;&gt;"",K16&lt;0.02),"제목·메타설명 수정",IF(AND(I16&lt;&gt;"",I16&gt;=8,I16&lt;=20),"본문 보강(표·FAQ·경험)",IF(AND(G16&lt;&gt;"",COUNT($G$2:$G$300)&gt;=5,G16&lt;=PERCENTILE($G$2:$G$300,0.3)),"하위30%: 제목·첫문단 수정","유지"))))</f>
        <v/>
      </c>
    </row>
    <row r="17">
      <c r="A17" s="25" t="n"/>
      <c r="B17" s="9" t="n"/>
      <c r="C17" s="9" t="n"/>
      <c r="D17" s="9" t="n"/>
      <c r="E17" s="9" t="n"/>
      <c r="F17" s="9" t="n"/>
      <c r="G17" s="26" t="n"/>
      <c r="H17" s="26" t="n"/>
      <c r="I17" s="9" t="n"/>
      <c r="J17" s="9" t="n"/>
      <c r="K17" s="11" t="n"/>
      <c r="L17" s="9" t="n"/>
      <c r="M17" s="25" t="n"/>
      <c r="N17" s="7">
        <f>IF(D17="","",IF(AND(J17&lt;&gt;"",J17&gt;=100,K17&lt;&gt;"",K17&lt;0.02),"제목·메타설명 수정",IF(AND(I17&lt;&gt;"",I17&gt;=8,I17&lt;=20),"본문 보강(표·FAQ·경험)",IF(AND(G17&lt;&gt;"",COUNT($G$2:$G$300)&gt;=5,G17&lt;=PERCENTILE($G$2:$G$300,0.3)),"하위30%: 제목·첫문단 수정","유지"))))</f>
        <v/>
      </c>
    </row>
    <row r="18">
      <c r="A18" s="25" t="n"/>
      <c r="B18" s="9" t="n"/>
      <c r="C18" s="9" t="n"/>
      <c r="D18" s="9" t="n"/>
      <c r="E18" s="9" t="n"/>
      <c r="F18" s="9" t="n"/>
      <c r="G18" s="26" t="n"/>
      <c r="H18" s="26" t="n"/>
      <c r="I18" s="9" t="n"/>
      <c r="J18" s="9" t="n"/>
      <c r="K18" s="11" t="n"/>
      <c r="L18" s="9" t="n"/>
      <c r="M18" s="25" t="n"/>
      <c r="N18" s="7">
        <f>IF(D18="","",IF(AND(J18&lt;&gt;"",J18&gt;=100,K18&lt;&gt;"",K18&lt;0.02),"제목·메타설명 수정",IF(AND(I18&lt;&gt;"",I18&gt;=8,I18&lt;=20),"본문 보강(표·FAQ·경험)",IF(AND(G18&lt;&gt;"",COUNT($G$2:$G$300)&gt;=5,G18&lt;=PERCENTILE($G$2:$G$300,0.3)),"하위30%: 제목·첫문단 수정","유지"))))</f>
        <v/>
      </c>
    </row>
    <row r="19">
      <c r="A19" s="25" t="n"/>
      <c r="B19" s="9" t="n"/>
      <c r="C19" s="9" t="n"/>
      <c r="D19" s="9" t="n"/>
      <c r="E19" s="9" t="n"/>
      <c r="F19" s="9" t="n"/>
      <c r="G19" s="26" t="n"/>
      <c r="H19" s="26" t="n"/>
      <c r="I19" s="9" t="n"/>
      <c r="J19" s="9" t="n"/>
      <c r="K19" s="11" t="n"/>
      <c r="L19" s="9" t="n"/>
      <c r="M19" s="25" t="n"/>
      <c r="N19" s="7">
        <f>IF(D19="","",IF(AND(J19&lt;&gt;"",J19&gt;=100,K19&lt;&gt;"",K19&lt;0.02),"제목·메타설명 수정",IF(AND(I19&lt;&gt;"",I19&gt;=8,I19&lt;=20),"본문 보강(표·FAQ·경험)",IF(AND(G19&lt;&gt;"",COUNT($G$2:$G$300)&gt;=5,G19&lt;=PERCENTILE($G$2:$G$300,0.3)),"하위30%: 제목·첫문단 수정","유지"))))</f>
        <v/>
      </c>
    </row>
    <row r="20">
      <c r="A20" s="25" t="n"/>
      <c r="B20" s="9" t="n"/>
      <c r="C20" s="9" t="n"/>
      <c r="D20" s="9" t="n"/>
      <c r="E20" s="9" t="n"/>
      <c r="F20" s="9" t="n"/>
      <c r="G20" s="26" t="n"/>
      <c r="H20" s="26" t="n"/>
      <c r="I20" s="9" t="n"/>
      <c r="J20" s="9" t="n"/>
      <c r="K20" s="11" t="n"/>
      <c r="L20" s="9" t="n"/>
      <c r="M20" s="25" t="n"/>
      <c r="N20" s="7">
        <f>IF(D20="","",IF(AND(J20&lt;&gt;"",J20&gt;=100,K20&lt;&gt;"",K20&lt;0.02),"제목·메타설명 수정",IF(AND(I20&lt;&gt;"",I20&gt;=8,I20&lt;=20),"본문 보강(표·FAQ·경험)",IF(AND(G20&lt;&gt;"",COUNT($G$2:$G$300)&gt;=5,G20&lt;=PERCENTILE($G$2:$G$300,0.3)),"하위30%: 제목·첫문단 수정","유지"))))</f>
        <v/>
      </c>
    </row>
    <row r="21">
      <c r="A21" s="25" t="n"/>
      <c r="B21" s="9" t="n"/>
      <c r="C21" s="9" t="n"/>
      <c r="D21" s="9" t="n"/>
      <c r="E21" s="9" t="n"/>
      <c r="F21" s="9" t="n"/>
      <c r="G21" s="26" t="n"/>
      <c r="H21" s="26" t="n"/>
      <c r="I21" s="9" t="n"/>
      <c r="J21" s="9" t="n"/>
      <c r="K21" s="11" t="n"/>
      <c r="L21" s="9" t="n"/>
      <c r="M21" s="25" t="n"/>
      <c r="N21" s="7">
        <f>IF(D21="","",IF(AND(J21&lt;&gt;"",J21&gt;=100,K21&lt;&gt;"",K21&lt;0.02),"제목·메타설명 수정",IF(AND(I21&lt;&gt;"",I21&gt;=8,I21&lt;=20),"본문 보강(표·FAQ·경험)",IF(AND(G21&lt;&gt;"",COUNT($G$2:$G$300)&gt;=5,G21&lt;=PERCENTILE($G$2:$G$300,0.3)),"하위30%: 제목·첫문단 수정","유지"))))</f>
        <v/>
      </c>
    </row>
    <row r="22">
      <c r="A22" s="25" t="n"/>
      <c r="B22" s="9" t="n"/>
      <c r="C22" s="9" t="n"/>
      <c r="D22" s="9" t="n"/>
      <c r="E22" s="9" t="n"/>
      <c r="F22" s="9" t="n"/>
      <c r="G22" s="26" t="n"/>
      <c r="H22" s="26" t="n"/>
      <c r="I22" s="9" t="n"/>
      <c r="J22" s="9" t="n"/>
      <c r="K22" s="11" t="n"/>
      <c r="L22" s="9" t="n"/>
      <c r="M22" s="25" t="n"/>
      <c r="N22" s="7">
        <f>IF(D22="","",IF(AND(J22&lt;&gt;"",J22&gt;=100,K22&lt;&gt;"",K22&lt;0.02),"제목·메타설명 수정",IF(AND(I22&lt;&gt;"",I22&gt;=8,I22&lt;=20),"본문 보강(표·FAQ·경험)",IF(AND(G22&lt;&gt;"",COUNT($G$2:$G$300)&gt;=5,G22&lt;=PERCENTILE($G$2:$G$300,0.3)),"하위30%: 제목·첫문단 수정","유지"))))</f>
        <v/>
      </c>
    </row>
    <row r="23">
      <c r="A23" s="25" t="n"/>
      <c r="B23" s="9" t="n"/>
      <c r="C23" s="9" t="n"/>
      <c r="D23" s="9" t="n"/>
      <c r="E23" s="9" t="n"/>
      <c r="F23" s="9" t="n"/>
      <c r="G23" s="26" t="n"/>
      <c r="H23" s="26" t="n"/>
      <c r="I23" s="9" t="n"/>
      <c r="J23" s="9" t="n"/>
      <c r="K23" s="11" t="n"/>
      <c r="L23" s="9" t="n"/>
      <c r="M23" s="25" t="n"/>
      <c r="N23" s="7">
        <f>IF(D23="","",IF(AND(J23&lt;&gt;"",J23&gt;=100,K23&lt;&gt;"",K23&lt;0.02),"제목·메타설명 수정",IF(AND(I23&lt;&gt;"",I23&gt;=8,I23&lt;=20),"본문 보강(표·FAQ·경험)",IF(AND(G23&lt;&gt;"",COUNT($G$2:$G$300)&gt;=5,G23&lt;=PERCENTILE($G$2:$G$300,0.3)),"하위30%: 제목·첫문단 수정","유지"))))</f>
        <v/>
      </c>
    </row>
    <row r="24">
      <c r="A24" s="25" t="n"/>
      <c r="B24" s="9" t="n"/>
      <c r="C24" s="9" t="n"/>
      <c r="D24" s="9" t="n"/>
      <c r="E24" s="9" t="n"/>
      <c r="F24" s="9" t="n"/>
      <c r="G24" s="26" t="n"/>
      <c r="H24" s="26" t="n"/>
      <c r="I24" s="9" t="n"/>
      <c r="J24" s="9" t="n"/>
      <c r="K24" s="11" t="n"/>
      <c r="L24" s="9" t="n"/>
      <c r="M24" s="25" t="n"/>
      <c r="N24" s="7">
        <f>IF(D24="","",IF(AND(J24&lt;&gt;"",J24&gt;=100,K24&lt;&gt;"",K24&lt;0.02),"제목·메타설명 수정",IF(AND(I24&lt;&gt;"",I24&gt;=8,I24&lt;=20),"본문 보강(표·FAQ·경험)",IF(AND(G24&lt;&gt;"",COUNT($G$2:$G$300)&gt;=5,G24&lt;=PERCENTILE($G$2:$G$300,0.3)),"하위30%: 제목·첫문단 수정","유지"))))</f>
        <v/>
      </c>
    </row>
    <row r="25">
      <c r="A25" s="25" t="n"/>
      <c r="B25" s="9" t="n"/>
      <c r="C25" s="9" t="n"/>
      <c r="D25" s="9" t="n"/>
      <c r="E25" s="9" t="n"/>
      <c r="F25" s="9" t="n"/>
      <c r="G25" s="26" t="n"/>
      <c r="H25" s="26" t="n"/>
      <c r="I25" s="9" t="n"/>
      <c r="J25" s="9" t="n"/>
      <c r="K25" s="11" t="n"/>
      <c r="L25" s="9" t="n"/>
      <c r="M25" s="25" t="n"/>
      <c r="N25" s="7">
        <f>IF(D25="","",IF(AND(J25&lt;&gt;"",J25&gt;=100,K25&lt;&gt;"",K25&lt;0.02),"제목·메타설명 수정",IF(AND(I25&lt;&gt;"",I25&gt;=8,I25&lt;=20),"본문 보강(표·FAQ·경험)",IF(AND(G25&lt;&gt;"",COUNT($G$2:$G$300)&gt;=5,G25&lt;=PERCENTILE($G$2:$G$300,0.3)),"하위30%: 제목·첫문단 수정","유지"))))</f>
        <v/>
      </c>
    </row>
    <row r="26">
      <c r="A26" s="25" t="n"/>
      <c r="B26" s="9" t="n"/>
      <c r="C26" s="9" t="n"/>
      <c r="D26" s="9" t="n"/>
      <c r="E26" s="9" t="n"/>
      <c r="F26" s="9" t="n"/>
      <c r="G26" s="26" t="n"/>
      <c r="H26" s="26" t="n"/>
      <c r="I26" s="9" t="n"/>
      <c r="J26" s="9" t="n"/>
      <c r="K26" s="11" t="n"/>
      <c r="L26" s="9" t="n"/>
      <c r="M26" s="25" t="n"/>
      <c r="N26" s="7">
        <f>IF(D26="","",IF(AND(J26&lt;&gt;"",J26&gt;=100,K26&lt;&gt;"",K26&lt;0.02),"제목·메타설명 수정",IF(AND(I26&lt;&gt;"",I26&gt;=8,I26&lt;=20),"본문 보강(표·FAQ·경험)",IF(AND(G26&lt;&gt;"",COUNT($G$2:$G$300)&gt;=5,G26&lt;=PERCENTILE($G$2:$G$300,0.3)),"하위30%: 제목·첫문단 수정","유지"))))</f>
        <v/>
      </c>
    </row>
    <row r="27">
      <c r="A27" s="25" t="n"/>
      <c r="B27" s="9" t="n"/>
      <c r="C27" s="9" t="n"/>
      <c r="D27" s="9" t="n"/>
      <c r="E27" s="9" t="n"/>
      <c r="F27" s="9" t="n"/>
      <c r="G27" s="26" t="n"/>
      <c r="H27" s="26" t="n"/>
      <c r="I27" s="9" t="n"/>
      <c r="J27" s="9" t="n"/>
      <c r="K27" s="11" t="n"/>
      <c r="L27" s="9" t="n"/>
      <c r="M27" s="25" t="n"/>
      <c r="N27" s="7">
        <f>IF(D27="","",IF(AND(J27&lt;&gt;"",J27&gt;=100,K27&lt;&gt;"",K27&lt;0.02),"제목·메타설명 수정",IF(AND(I27&lt;&gt;"",I27&gt;=8,I27&lt;=20),"본문 보강(표·FAQ·경험)",IF(AND(G27&lt;&gt;"",COUNT($G$2:$G$300)&gt;=5,G27&lt;=PERCENTILE($G$2:$G$300,0.3)),"하위30%: 제목·첫문단 수정","유지"))))</f>
        <v/>
      </c>
    </row>
    <row r="28">
      <c r="A28" s="25" t="n"/>
      <c r="B28" s="9" t="n"/>
      <c r="C28" s="9" t="n"/>
      <c r="D28" s="9" t="n"/>
      <c r="E28" s="9" t="n"/>
      <c r="F28" s="9" t="n"/>
      <c r="G28" s="26" t="n"/>
      <c r="H28" s="26" t="n"/>
      <c r="I28" s="9" t="n"/>
      <c r="J28" s="9" t="n"/>
      <c r="K28" s="11" t="n"/>
      <c r="L28" s="9" t="n"/>
      <c r="M28" s="25" t="n"/>
      <c r="N28" s="7">
        <f>IF(D28="","",IF(AND(J28&lt;&gt;"",J28&gt;=100,K28&lt;&gt;"",K28&lt;0.02),"제목·메타설명 수정",IF(AND(I28&lt;&gt;"",I28&gt;=8,I28&lt;=20),"본문 보강(표·FAQ·경험)",IF(AND(G28&lt;&gt;"",COUNT($G$2:$G$300)&gt;=5,G28&lt;=PERCENTILE($G$2:$G$300,0.3)),"하위30%: 제목·첫문단 수정","유지"))))</f>
        <v/>
      </c>
    </row>
    <row r="29">
      <c r="A29" s="25" t="n"/>
      <c r="B29" s="9" t="n"/>
      <c r="C29" s="9" t="n"/>
      <c r="D29" s="9" t="n"/>
      <c r="E29" s="9" t="n"/>
      <c r="F29" s="9" t="n"/>
      <c r="G29" s="26" t="n"/>
      <c r="H29" s="26" t="n"/>
      <c r="I29" s="9" t="n"/>
      <c r="J29" s="9" t="n"/>
      <c r="K29" s="11" t="n"/>
      <c r="L29" s="9" t="n"/>
      <c r="M29" s="25" t="n"/>
      <c r="N29" s="7">
        <f>IF(D29="","",IF(AND(J29&lt;&gt;"",J29&gt;=100,K29&lt;&gt;"",K29&lt;0.02),"제목·메타설명 수정",IF(AND(I29&lt;&gt;"",I29&gt;=8,I29&lt;=20),"본문 보강(표·FAQ·경험)",IF(AND(G29&lt;&gt;"",COUNT($G$2:$G$300)&gt;=5,G29&lt;=PERCENTILE($G$2:$G$300,0.3)),"하위30%: 제목·첫문단 수정","유지"))))</f>
        <v/>
      </c>
    </row>
    <row r="30">
      <c r="A30" s="25" t="n"/>
      <c r="B30" s="9" t="n"/>
      <c r="C30" s="9" t="n"/>
      <c r="D30" s="9" t="n"/>
      <c r="E30" s="9" t="n"/>
      <c r="F30" s="9" t="n"/>
      <c r="G30" s="26" t="n"/>
      <c r="H30" s="26" t="n"/>
      <c r="I30" s="9" t="n"/>
      <c r="J30" s="9" t="n"/>
      <c r="K30" s="11" t="n"/>
      <c r="L30" s="9" t="n"/>
      <c r="M30" s="25" t="n"/>
      <c r="N30" s="7">
        <f>IF(D30="","",IF(AND(J30&lt;&gt;"",J30&gt;=100,K30&lt;&gt;"",K30&lt;0.02),"제목·메타설명 수정",IF(AND(I30&lt;&gt;"",I30&gt;=8,I30&lt;=20),"본문 보강(표·FAQ·경험)",IF(AND(G30&lt;&gt;"",COUNT($G$2:$G$300)&gt;=5,G30&lt;=PERCENTILE($G$2:$G$300,0.3)),"하위30%: 제목·첫문단 수정","유지"))))</f>
        <v/>
      </c>
    </row>
    <row r="31">
      <c r="A31" s="25" t="n"/>
      <c r="B31" s="9" t="n"/>
      <c r="C31" s="9" t="n"/>
      <c r="D31" s="9" t="n"/>
      <c r="E31" s="9" t="n"/>
      <c r="F31" s="9" t="n"/>
      <c r="G31" s="26" t="n"/>
      <c r="H31" s="26" t="n"/>
      <c r="I31" s="9" t="n"/>
      <c r="J31" s="9" t="n"/>
      <c r="K31" s="11" t="n"/>
      <c r="L31" s="9" t="n"/>
      <c r="M31" s="25" t="n"/>
      <c r="N31" s="7">
        <f>IF(D31="","",IF(AND(J31&lt;&gt;"",J31&gt;=100,K31&lt;&gt;"",K31&lt;0.02),"제목·메타설명 수정",IF(AND(I31&lt;&gt;"",I31&gt;=8,I31&lt;=20),"본문 보강(표·FAQ·경험)",IF(AND(G31&lt;&gt;"",COUNT($G$2:$G$300)&gt;=5,G31&lt;=PERCENTILE($G$2:$G$300,0.3)),"하위30%: 제목·첫문단 수정","유지"))))</f>
        <v/>
      </c>
    </row>
    <row r="32">
      <c r="A32" s="25" t="n"/>
      <c r="B32" s="9" t="n"/>
      <c r="C32" s="9" t="n"/>
      <c r="D32" s="9" t="n"/>
      <c r="E32" s="9" t="n"/>
      <c r="F32" s="9" t="n"/>
      <c r="G32" s="26" t="n"/>
      <c r="H32" s="26" t="n"/>
      <c r="I32" s="9" t="n"/>
      <c r="J32" s="9" t="n"/>
      <c r="K32" s="11" t="n"/>
      <c r="L32" s="9" t="n"/>
      <c r="M32" s="25" t="n"/>
      <c r="N32" s="7">
        <f>IF(D32="","",IF(AND(J32&lt;&gt;"",J32&gt;=100,K32&lt;&gt;"",K32&lt;0.02),"제목·메타설명 수정",IF(AND(I32&lt;&gt;"",I32&gt;=8,I32&lt;=20),"본문 보강(표·FAQ·경험)",IF(AND(G32&lt;&gt;"",COUNT($G$2:$G$300)&gt;=5,G32&lt;=PERCENTILE($G$2:$G$300,0.3)),"하위30%: 제목·첫문단 수정","유지"))))</f>
        <v/>
      </c>
    </row>
    <row r="33">
      <c r="A33" s="25" t="n"/>
      <c r="B33" s="9" t="n"/>
      <c r="C33" s="9" t="n"/>
      <c r="D33" s="9" t="n"/>
      <c r="E33" s="9" t="n"/>
      <c r="F33" s="9" t="n"/>
      <c r="G33" s="26" t="n"/>
      <c r="H33" s="26" t="n"/>
      <c r="I33" s="9" t="n"/>
      <c r="J33" s="9" t="n"/>
      <c r="K33" s="11" t="n"/>
      <c r="L33" s="9" t="n"/>
      <c r="M33" s="25" t="n"/>
      <c r="N33" s="7">
        <f>IF(D33="","",IF(AND(J33&lt;&gt;"",J33&gt;=100,K33&lt;&gt;"",K33&lt;0.02),"제목·메타설명 수정",IF(AND(I33&lt;&gt;"",I33&gt;=8,I33&lt;=20),"본문 보강(표·FAQ·경험)",IF(AND(G33&lt;&gt;"",COUNT($G$2:$G$300)&gt;=5,G33&lt;=PERCENTILE($G$2:$G$300,0.3)),"하위30%: 제목·첫문단 수정","유지"))))</f>
        <v/>
      </c>
    </row>
    <row r="34">
      <c r="A34" s="25" t="n"/>
      <c r="B34" s="9" t="n"/>
      <c r="C34" s="9" t="n"/>
      <c r="D34" s="9" t="n"/>
      <c r="E34" s="9" t="n"/>
      <c r="F34" s="9" t="n"/>
      <c r="G34" s="26" t="n"/>
      <c r="H34" s="26" t="n"/>
      <c r="I34" s="9" t="n"/>
      <c r="J34" s="9" t="n"/>
      <c r="K34" s="11" t="n"/>
      <c r="L34" s="9" t="n"/>
      <c r="M34" s="25" t="n"/>
      <c r="N34" s="7">
        <f>IF(D34="","",IF(AND(J34&lt;&gt;"",J34&gt;=100,K34&lt;&gt;"",K34&lt;0.02),"제목·메타설명 수정",IF(AND(I34&lt;&gt;"",I34&gt;=8,I34&lt;=20),"본문 보강(표·FAQ·경험)",IF(AND(G34&lt;&gt;"",COUNT($G$2:$G$300)&gt;=5,G34&lt;=PERCENTILE($G$2:$G$300,0.3)),"하위30%: 제목·첫문단 수정","유지"))))</f>
        <v/>
      </c>
    </row>
    <row r="35">
      <c r="A35" s="25" t="n"/>
      <c r="B35" s="9" t="n"/>
      <c r="C35" s="9" t="n"/>
      <c r="D35" s="9" t="n"/>
      <c r="E35" s="9" t="n"/>
      <c r="F35" s="9" t="n"/>
      <c r="G35" s="26" t="n"/>
      <c r="H35" s="26" t="n"/>
      <c r="I35" s="9" t="n"/>
      <c r="J35" s="9" t="n"/>
      <c r="K35" s="11" t="n"/>
      <c r="L35" s="9" t="n"/>
      <c r="M35" s="25" t="n"/>
      <c r="N35" s="7">
        <f>IF(D35="","",IF(AND(J35&lt;&gt;"",J35&gt;=100,K35&lt;&gt;"",K35&lt;0.02),"제목·메타설명 수정",IF(AND(I35&lt;&gt;"",I35&gt;=8,I35&lt;=20),"본문 보강(표·FAQ·경험)",IF(AND(G35&lt;&gt;"",COUNT($G$2:$G$300)&gt;=5,G35&lt;=PERCENTILE($G$2:$G$300,0.3)),"하위30%: 제목·첫문단 수정","유지"))))</f>
        <v/>
      </c>
    </row>
    <row r="36">
      <c r="A36" s="25" t="n"/>
      <c r="B36" s="9" t="n"/>
      <c r="C36" s="9" t="n"/>
      <c r="D36" s="9" t="n"/>
      <c r="E36" s="9" t="n"/>
      <c r="F36" s="9" t="n"/>
      <c r="G36" s="26" t="n"/>
      <c r="H36" s="26" t="n"/>
      <c r="I36" s="9" t="n"/>
      <c r="J36" s="9" t="n"/>
      <c r="K36" s="11" t="n"/>
      <c r="L36" s="9" t="n"/>
      <c r="M36" s="25" t="n"/>
      <c r="N36" s="7">
        <f>IF(D36="","",IF(AND(J36&lt;&gt;"",J36&gt;=100,K36&lt;&gt;"",K36&lt;0.02),"제목·메타설명 수정",IF(AND(I36&lt;&gt;"",I36&gt;=8,I36&lt;=20),"본문 보강(표·FAQ·경험)",IF(AND(G36&lt;&gt;"",COUNT($G$2:$G$300)&gt;=5,G36&lt;=PERCENTILE($G$2:$G$300,0.3)),"하위30%: 제목·첫문단 수정","유지"))))</f>
        <v/>
      </c>
    </row>
    <row r="37">
      <c r="A37" s="25" t="n"/>
      <c r="B37" s="9" t="n"/>
      <c r="C37" s="9" t="n"/>
      <c r="D37" s="9" t="n"/>
      <c r="E37" s="9" t="n"/>
      <c r="F37" s="9" t="n"/>
      <c r="G37" s="26" t="n"/>
      <c r="H37" s="26" t="n"/>
      <c r="I37" s="9" t="n"/>
      <c r="J37" s="9" t="n"/>
      <c r="K37" s="11" t="n"/>
      <c r="L37" s="9" t="n"/>
      <c r="M37" s="25" t="n"/>
      <c r="N37" s="7">
        <f>IF(D37="","",IF(AND(J37&lt;&gt;"",J37&gt;=100,K37&lt;&gt;"",K37&lt;0.02),"제목·메타설명 수정",IF(AND(I37&lt;&gt;"",I37&gt;=8,I37&lt;=20),"본문 보강(표·FAQ·경험)",IF(AND(G37&lt;&gt;"",COUNT($G$2:$G$300)&gt;=5,G37&lt;=PERCENTILE($G$2:$G$300,0.3)),"하위30%: 제목·첫문단 수정","유지"))))</f>
        <v/>
      </c>
    </row>
    <row r="38">
      <c r="A38" s="25" t="n"/>
      <c r="B38" s="9" t="n"/>
      <c r="C38" s="9" t="n"/>
      <c r="D38" s="9" t="n"/>
      <c r="E38" s="9" t="n"/>
      <c r="F38" s="9" t="n"/>
      <c r="G38" s="26" t="n"/>
      <c r="H38" s="26" t="n"/>
      <c r="I38" s="9" t="n"/>
      <c r="J38" s="9" t="n"/>
      <c r="K38" s="11" t="n"/>
      <c r="L38" s="9" t="n"/>
      <c r="M38" s="25" t="n"/>
      <c r="N38" s="7">
        <f>IF(D38="","",IF(AND(J38&lt;&gt;"",J38&gt;=100,K38&lt;&gt;"",K38&lt;0.02),"제목·메타설명 수정",IF(AND(I38&lt;&gt;"",I38&gt;=8,I38&lt;=20),"본문 보강(표·FAQ·경험)",IF(AND(G38&lt;&gt;"",COUNT($G$2:$G$300)&gt;=5,G38&lt;=PERCENTILE($G$2:$G$300,0.3)),"하위30%: 제목·첫문단 수정","유지"))))</f>
        <v/>
      </c>
    </row>
    <row r="39">
      <c r="A39" s="25" t="n"/>
      <c r="B39" s="9" t="n"/>
      <c r="C39" s="9" t="n"/>
      <c r="D39" s="9" t="n"/>
      <c r="E39" s="9" t="n"/>
      <c r="F39" s="9" t="n"/>
      <c r="G39" s="26" t="n"/>
      <c r="H39" s="26" t="n"/>
      <c r="I39" s="9" t="n"/>
      <c r="J39" s="9" t="n"/>
      <c r="K39" s="11" t="n"/>
      <c r="L39" s="9" t="n"/>
      <c r="M39" s="25" t="n"/>
      <c r="N39" s="7">
        <f>IF(D39="","",IF(AND(J39&lt;&gt;"",J39&gt;=100,K39&lt;&gt;"",K39&lt;0.02),"제목·메타설명 수정",IF(AND(I39&lt;&gt;"",I39&gt;=8,I39&lt;=20),"본문 보강(표·FAQ·경험)",IF(AND(G39&lt;&gt;"",COUNT($G$2:$G$300)&gt;=5,G39&lt;=PERCENTILE($G$2:$G$300,0.3)),"하위30%: 제목·첫문단 수정","유지"))))</f>
        <v/>
      </c>
    </row>
    <row r="40">
      <c r="A40" s="25" t="n"/>
      <c r="B40" s="9" t="n"/>
      <c r="C40" s="9" t="n"/>
      <c r="D40" s="9" t="n"/>
      <c r="E40" s="9" t="n"/>
      <c r="F40" s="9" t="n"/>
      <c r="G40" s="26" t="n"/>
      <c r="H40" s="26" t="n"/>
      <c r="I40" s="9" t="n"/>
      <c r="J40" s="9" t="n"/>
      <c r="K40" s="11" t="n"/>
      <c r="L40" s="9" t="n"/>
      <c r="M40" s="25" t="n"/>
      <c r="N40" s="7">
        <f>IF(D40="","",IF(AND(J40&lt;&gt;"",J40&gt;=100,K40&lt;&gt;"",K40&lt;0.02),"제목·메타설명 수정",IF(AND(I40&lt;&gt;"",I40&gt;=8,I40&lt;=20),"본문 보강(표·FAQ·경험)",IF(AND(G40&lt;&gt;"",COUNT($G$2:$G$300)&gt;=5,G40&lt;=PERCENTILE($G$2:$G$300,0.3)),"하위30%: 제목·첫문단 수정","유지"))))</f>
        <v/>
      </c>
    </row>
    <row r="41">
      <c r="A41" s="25" t="n"/>
      <c r="B41" s="9" t="n"/>
      <c r="C41" s="9" t="n"/>
      <c r="D41" s="9" t="n"/>
      <c r="E41" s="9" t="n"/>
      <c r="F41" s="9" t="n"/>
      <c r="G41" s="26" t="n"/>
      <c r="H41" s="26" t="n"/>
      <c r="I41" s="9" t="n"/>
      <c r="J41" s="9" t="n"/>
      <c r="K41" s="11" t="n"/>
      <c r="L41" s="9" t="n"/>
      <c r="M41" s="25" t="n"/>
      <c r="N41" s="7">
        <f>IF(D41="","",IF(AND(J41&lt;&gt;"",J41&gt;=100,K41&lt;&gt;"",K41&lt;0.02),"제목·메타설명 수정",IF(AND(I41&lt;&gt;"",I41&gt;=8,I41&lt;=20),"본문 보강(표·FAQ·경험)",IF(AND(G41&lt;&gt;"",COUNT($G$2:$G$300)&gt;=5,G41&lt;=PERCENTILE($G$2:$G$300,0.3)),"하위30%: 제목·첫문단 수정","유지"))))</f>
        <v/>
      </c>
    </row>
    <row r="42">
      <c r="A42" s="25" t="n"/>
      <c r="B42" s="9" t="n"/>
      <c r="C42" s="9" t="n"/>
      <c r="D42" s="9" t="n"/>
      <c r="E42" s="9" t="n"/>
      <c r="F42" s="9" t="n"/>
      <c r="G42" s="26" t="n"/>
      <c r="H42" s="26" t="n"/>
      <c r="I42" s="9" t="n"/>
      <c r="J42" s="9" t="n"/>
      <c r="K42" s="11" t="n"/>
      <c r="L42" s="9" t="n"/>
      <c r="M42" s="25" t="n"/>
      <c r="N42" s="7">
        <f>IF(D42="","",IF(AND(J42&lt;&gt;"",J42&gt;=100,K42&lt;&gt;"",K42&lt;0.02),"제목·메타설명 수정",IF(AND(I42&lt;&gt;"",I42&gt;=8,I42&lt;=20),"본문 보강(표·FAQ·경험)",IF(AND(G42&lt;&gt;"",COUNT($G$2:$G$300)&gt;=5,G42&lt;=PERCENTILE($G$2:$G$300,0.3)),"하위30%: 제목·첫문단 수정","유지"))))</f>
        <v/>
      </c>
    </row>
    <row r="43">
      <c r="A43" s="25" t="n"/>
      <c r="B43" s="9" t="n"/>
      <c r="C43" s="9" t="n"/>
      <c r="D43" s="9" t="n"/>
      <c r="E43" s="9" t="n"/>
      <c r="F43" s="9" t="n"/>
      <c r="G43" s="26" t="n"/>
      <c r="H43" s="26" t="n"/>
      <c r="I43" s="9" t="n"/>
      <c r="J43" s="9" t="n"/>
      <c r="K43" s="11" t="n"/>
      <c r="L43" s="9" t="n"/>
      <c r="M43" s="25" t="n"/>
      <c r="N43" s="7">
        <f>IF(D43="","",IF(AND(J43&lt;&gt;"",J43&gt;=100,K43&lt;&gt;"",K43&lt;0.02),"제목·메타설명 수정",IF(AND(I43&lt;&gt;"",I43&gt;=8,I43&lt;=20),"본문 보강(표·FAQ·경험)",IF(AND(G43&lt;&gt;"",COUNT($G$2:$G$300)&gt;=5,G43&lt;=PERCENTILE($G$2:$G$300,0.3)),"하위30%: 제목·첫문단 수정","유지"))))</f>
        <v/>
      </c>
    </row>
    <row r="44">
      <c r="A44" s="25" t="n"/>
      <c r="B44" s="9" t="n"/>
      <c r="C44" s="9" t="n"/>
      <c r="D44" s="9" t="n"/>
      <c r="E44" s="9" t="n"/>
      <c r="F44" s="9" t="n"/>
      <c r="G44" s="26" t="n"/>
      <c r="H44" s="26" t="n"/>
      <c r="I44" s="9" t="n"/>
      <c r="J44" s="9" t="n"/>
      <c r="K44" s="11" t="n"/>
      <c r="L44" s="9" t="n"/>
      <c r="M44" s="25" t="n"/>
      <c r="N44" s="7">
        <f>IF(D44="","",IF(AND(J44&lt;&gt;"",J44&gt;=100,K44&lt;&gt;"",K44&lt;0.02),"제목·메타설명 수정",IF(AND(I44&lt;&gt;"",I44&gt;=8,I44&lt;=20),"본문 보강(표·FAQ·경험)",IF(AND(G44&lt;&gt;"",COUNT($G$2:$G$300)&gt;=5,G44&lt;=PERCENTILE($G$2:$G$300,0.3)),"하위30%: 제목·첫문단 수정","유지"))))</f>
        <v/>
      </c>
    </row>
    <row r="45">
      <c r="A45" s="25" t="n"/>
      <c r="B45" s="9" t="n"/>
      <c r="C45" s="9" t="n"/>
      <c r="D45" s="9" t="n"/>
      <c r="E45" s="9" t="n"/>
      <c r="F45" s="9" t="n"/>
      <c r="G45" s="26" t="n"/>
      <c r="H45" s="26" t="n"/>
      <c r="I45" s="9" t="n"/>
      <c r="J45" s="9" t="n"/>
      <c r="K45" s="11" t="n"/>
      <c r="L45" s="9" t="n"/>
      <c r="M45" s="25" t="n"/>
      <c r="N45" s="7">
        <f>IF(D45="","",IF(AND(J45&lt;&gt;"",J45&gt;=100,K45&lt;&gt;"",K45&lt;0.02),"제목·메타설명 수정",IF(AND(I45&lt;&gt;"",I45&gt;=8,I45&lt;=20),"본문 보강(표·FAQ·경험)",IF(AND(G45&lt;&gt;"",COUNT($G$2:$G$300)&gt;=5,G45&lt;=PERCENTILE($G$2:$G$300,0.3)),"하위30%: 제목·첫문단 수정","유지"))))</f>
        <v/>
      </c>
    </row>
    <row r="46">
      <c r="A46" s="25" t="n"/>
      <c r="B46" s="9" t="n"/>
      <c r="C46" s="9" t="n"/>
      <c r="D46" s="9" t="n"/>
      <c r="E46" s="9" t="n"/>
      <c r="F46" s="9" t="n"/>
      <c r="G46" s="26" t="n"/>
      <c r="H46" s="26" t="n"/>
      <c r="I46" s="9" t="n"/>
      <c r="J46" s="9" t="n"/>
      <c r="K46" s="11" t="n"/>
      <c r="L46" s="9" t="n"/>
      <c r="M46" s="25" t="n"/>
      <c r="N46" s="7">
        <f>IF(D46="","",IF(AND(J46&lt;&gt;"",J46&gt;=100,K46&lt;&gt;"",K46&lt;0.02),"제목·메타설명 수정",IF(AND(I46&lt;&gt;"",I46&gt;=8,I46&lt;=20),"본문 보강(표·FAQ·경험)",IF(AND(G46&lt;&gt;"",COUNT($G$2:$G$300)&gt;=5,G46&lt;=PERCENTILE($G$2:$G$300,0.3)),"하위30%: 제목·첫문단 수정","유지"))))</f>
        <v/>
      </c>
    </row>
    <row r="47">
      <c r="A47" s="25" t="n"/>
      <c r="B47" s="9" t="n"/>
      <c r="C47" s="9" t="n"/>
      <c r="D47" s="9" t="n"/>
      <c r="E47" s="9" t="n"/>
      <c r="F47" s="9" t="n"/>
      <c r="G47" s="26" t="n"/>
      <c r="H47" s="26" t="n"/>
      <c r="I47" s="9" t="n"/>
      <c r="J47" s="9" t="n"/>
      <c r="K47" s="11" t="n"/>
      <c r="L47" s="9" t="n"/>
      <c r="M47" s="25" t="n"/>
      <c r="N47" s="7">
        <f>IF(D47="","",IF(AND(J47&lt;&gt;"",J47&gt;=100,K47&lt;&gt;"",K47&lt;0.02),"제목·메타설명 수정",IF(AND(I47&lt;&gt;"",I47&gt;=8,I47&lt;=20),"본문 보강(표·FAQ·경험)",IF(AND(G47&lt;&gt;"",COUNT($G$2:$G$300)&gt;=5,G47&lt;=PERCENTILE($G$2:$G$300,0.3)),"하위30%: 제목·첫문단 수정","유지"))))</f>
        <v/>
      </c>
    </row>
    <row r="48">
      <c r="A48" s="25" t="n"/>
      <c r="B48" s="9" t="n"/>
      <c r="C48" s="9" t="n"/>
      <c r="D48" s="9" t="n"/>
      <c r="E48" s="9" t="n"/>
      <c r="F48" s="9" t="n"/>
      <c r="G48" s="26" t="n"/>
      <c r="H48" s="26" t="n"/>
      <c r="I48" s="9" t="n"/>
      <c r="J48" s="9" t="n"/>
      <c r="K48" s="11" t="n"/>
      <c r="L48" s="9" t="n"/>
      <c r="M48" s="25" t="n"/>
      <c r="N48" s="7">
        <f>IF(D48="","",IF(AND(J48&lt;&gt;"",J48&gt;=100,K48&lt;&gt;"",K48&lt;0.02),"제목·메타설명 수정",IF(AND(I48&lt;&gt;"",I48&gt;=8,I48&lt;=20),"본문 보강(표·FAQ·경험)",IF(AND(G48&lt;&gt;"",COUNT($G$2:$G$300)&gt;=5,G48&lt;=PERCENTILE($G$2:$G$300,0.3)),"하위30%: 제목·첫문단 수정","유지"))))</f>
        <v/>
      </c>
    </row>
    <row r="49">
      <c r="A49" s="25" t="n"/>
      <c r="B49" s="9" t="n"/>
      <c r="C49" s="9" t="n"/>
      <c r="D49" s="9" t="n"/>
      <c r="E49" s="9" t="n"/>
      <c r="F49" s="9" t="n"/>
      <c r="G49" s="26" t="n"/>
      <c r="H49" s="26" t="n"/>
      <c r="I49" s="9" t="n"/>
      <c r="J49" s="9" t="n"/>
      <c r="K49" s="11" t="n"/>
      <c r="L49" s="9" t="n"/>
      <c r="M49" s="25" t="n"/>
      <c r="N49" s="7">
        <f>IF(D49="","",IF(AND(J49&lt;&gt;"",J49&gt;=100,K49&lt;&gt;"",K49&lt;0.02),"제목·메타설명 수정",IF(AND(I49&lt;&gt;"",I49&gt;=8,I49&lt;=20),"본문 보강(표·FAQ·경험)",IF(AND(G49&lt;&gt;"",COUNT($G$2:$G$300)&gt;=5,G49&lt;=PERCENTILE($G$2:$G$300,0.3)),"하위30%: 제목·첫문단 수정","유지"))))</f>
        <v/>
      </c>
    </row>
    <row r="50">
      <c r="A50" s="25" t="n"/>
      <c r="B50" s="9" t="n"/>
      <c r="C50" s="9" t="n"/>
      <c r="D50" s="9" t="n"/>
      <c r="E50" s="9" t="n"/>
      <c r="F50" s="9" t="n"/>
      <c r="G50" s="26" t="n"/>
      <c r="H50" s="26" t="n"/>
      <c r="I50" s="9" t="n"/>
      <c r="J50" s="9" t="n"/>
      <c r="K50" s="11" t="n"/>
      <c r="L50" s="9" t="n"/>
      <c r="M50" s="25" t="n"/>
      <c r="N50" s="7">
        <f>IF(D50="","",IF(AND(J50&lt;&gt;"",J50&gt;=100,K50&lt;&gt;"",K50&lt;0.02),"제목·메타설명 수정",IF(AND(I50&lt;&gt;"",I50&gt;=8,I50&lt;=20),"본문 보강(표·FAQ·경험)",IF(AND(G50&lt;&gt;"",COUNT($G$2:$G$300)&gt;=5,G50&lt;=PERCENTILE($G$2:$G$300,0.3)),"하위30%: 제목·첫문단 수정","유지"))))</f>
        <v/>
      </c>
    </row>
    <row r="51">
      <c r="A51" s="25" t="n"/>
      <c r="B51" s="9" t="n"/>
      <c r="C51" s="9" t="n"/>
      <c r="D51" s="9" t="n"/>
      <c r="E51" s="9" t="n"/>
      <c r="F51" s="9" t="n"/>
      <c r="G51" s="26" t="n"/>
      <c r="H51" s="26" t="n"/>
      <c r="I51" s="9" t="n"/>
      <c r="J51" s="9" t="n"/>
      <c r="K51" s="11" t="n"/>
      <c r="L51" s="9" t="n"/>
      <c r="M51" s="25" t="n"/>
      <c r="N51" s="7">
        <f>IF(D51="","",IF(AND(J51&lt;&gt;"",J51&gt;=100,K51&lt;&gt;"",K51&lt;0.02),"제목·메타설명 수정",IF(AND(I51&lt;&gt;"",I51&gt;=8,I51&lt;=20),"본문 보강(표·FAQ·경험)",IF(AND(G51&lt;&gt;"",COUNT($G$2:$G$300)&gt;=5,G51&lt;=PERCENTILE($G$2:$G$300,0.3)),"하위30%: 제목·첫문단 수정","유지"))))</f>
        <v/>
      </c>
    </row>
    <row r="52">
      <c r="A52" s="25" t="n"/>
      <c r="B52" s="9" t="n"/>
      <c r="C52" s="9" t="n"/>
      <c r="D52" s="9" t="n"/>
      <c r="E52" s="9" t="n"/>
      <c r="F52" s="9" t="n"/>
      <c r="G52" s="26" t="n"/>
      <c r="H52" s="26" t="n"/>
      <c r="I52" s="9" t="n"/>
      <c r="J52" s="9" t="n"/>
      <c r="K52" s="11" t="n"/>
      <c r="L52" s="9" t="n"/>
      <c r="M52" s="25" t="n"/>
      <c r="N52" s="7">
        <f>IF(D52="","",IF(AND(J52&lt;&gt;"",J52&gt;=100,K52&lt;&gt;"",K52&lt;0.02),"제목·메타설명 수정",IF(AND(I52&lt;&gt;"",I52&gt;=8,I52&lt;=20),"본문 보강(표·FAQ·경험)",IF(AND(G52&lt;&gt;"",COUNT($G$2:$G$300)&gt;=5,G52&lt;=PERCENTILE($G$2:$G$300,0.3)),"하위30%: 제목·첫문단 수정","유지"))))</f>
        <v/>
      </c>
    </row>
    <row r="53">
      <c r="A53" s="25" t="n"/>
      <c r="B53" s="9" t="n"/>
      <c r="C53" s="9" t="n"/>
      <c r="D53" s="9" t="n"/>
      <c r="E53" s="9" t="n"/>
      <c r="F53" s="9" t="n"/>
      <c r="G53" s="26" t="n"/>
      <c r="H53" s="26" t="n"/>
      <c r="I53" s="9" t="n"/>
      <c r="J53" s="9" t="n"/>
      <c r="K53" s="11" t="n"/>
      <c r="L53" s="9" t="n"/>
      <c r="M53" s="25" t="n"/>
      <c r="N53" s="7">
        <f>IF(D53="","",IF(AND(J53&lt;&gt;"",J53&gt;=100,K53&lt;&gt;"",K53&lt;0.02),"제목·메타설명 수정",IF(AND(I53&lt;&gt;"",I53&gt;=8,I53&lt;=20),"본문 보강(표·FAQ·경험)",IF(AND(G53&lt;&gt;"",COUNT($G$2:$G$300)&gt;=5,G53&lt;=PERCENTILE($G$2:$G$300,0.3)),"하위30%: 제목·첫문단 수정","유지"))))</f>
        <v/>
      </c>
    </row>
    <row r="54">
      <c r="A54" s="25" t="n"/>
      <c r="B54" s="9" t="n"/>
      <c r="C54" s="9" t="n"/>
      <c r="D54" s="9" t="n"/>
      <c r="E54" s="9" t="n"/>
      <c r="F54" s="9" t="n"/>
      <c r="G54" s="26" t="n"/>
      <c r="H54" s="26" t="n"/>
      <c r="I54" s="9" t="n"/>
      <c r="J54" s="9" t="n"/>
      <c r="K54" s="11" t="n"/>
      <c r="L54" s="9" t="n"/>
      <c r="M54" s="25" t="n"/>
      <c r="N54" s="7">
        <f>IF(D54="","",IF(AND(J54&lt;&gt;"",J54&gt;=100,K54&lt;&gt;"",K54&lt;0.02),"제목·메타설명 수정",IF(AND(I54&lt;&gt;"",I54&gt;=8,I54&lt;=20),"본문 보강(표·FAQ·경험)",IF(AND(G54&lt;&gt;"",COUNT($G$2:$G$300)&gt;=5,G54&lt;=PERCENTILE($G$2:$G$300,0.3)),"하위30%: 제목·첫문단 수정","유지"))))</f>
        <v/>
      </c>
    </row>
    <row r="55">
      <c r="A55" s="25" t="n"/>
      <c r="B55" s="9" t="n"/>
      <c r="C55" s="9" t="n"/>
      <c r="D55" s="9" t="n"/>
      <c r="E55" s="9" t="n"/>
      <c r="F55" s="9" t="n"/>
      <c r="G55" s="26" t="n"/>
      <c r="H55" s="26" t="n"/>
      <c r="I55" s="9" t="n"/>
      <c r="J55" s="9" t="n"/>
      <c r="K55" s="11" t="n"/>
      <c r="L55" s="9" t="n"/>
      <c r="M55" s="25" t="n"/>
      <c r="N55" s="7">
        <f>IF(D55="","",IF(AND(J55&lt;&gt;"",J55&gt;=100,K55&lt;&gt;"",K55&lt;0.02),"제목·메타설명 수정",IF(AND(I55&lt;&gt;"",I55&gt;=8,I55&lt;=20),"본문 보강(표·FAQ·경험)",IF(AND(G55&lt;&gt;"",COUNT($G$2:$G$300)&gt;=5,G55&lt;=PERCENTILE($G$2:$G$300,0.3)),"하위30%: 제목·첫문단 수정","유지"))))</f>
        <v/>
      </c>
    </row>
    <row r="56">
      <c r="A56" s="25" t="n"/>
      <c r="B56" s="9" t="n"/>
      <c r="C56" s="9" t="n"/>
      <c r="D56" s="9" t="n"/>
      <c r="E56" s="9" t="n"/>
      <c r="F56" s="9" t="n"/>
      <c r="G56" s="26" t="n"/>
      <c r="H56" s="26" t="n"/>
      <c r="I56" s="9" t="n"/>
      <c r="J56" s="9" t="n"/>
      <c r="K56" s="11" t="n"/>
      <c r="L56" s="9" t="n"/>
      <c r="M56" s="25" t="n"/>
      <c r="N56" s="7">
        <f>IF(D56="","",IF(AND(J56&lt;&gt;"",J56&gt;=100,K56&lt;&gt;"",K56&lt;0.02),"제목·메타설명 수정",IF(AND(I56&lt;&gt;"",I56&gt;=8,I56&lt;=20),"본문 보강(표·FAQ·경험)",IF(AND(G56&lt;&gt;"",COUNT($G$2:$G$300)&gt;=5,G56&lt;=PERCENTILE($G$2:$G$300,0.3)),"하위30%: 제목·첫문단 수정","유지"))))</f>
        <v/>
      </c>
    </row>
    <row r="57">
      <c r="A57" s="25" t="n"/>
      <c r="B57" s="9" t="n"/>
      <c r="C57" s="9" t="n"/>
      <c r="D57" s="9" t="n"/>
      <c r="E57" s="9" t="n"/>
      <c r="F57" s="9" t="n"/>
      <c r="G57" s="26" t="n"/>
      <c r="H57" s="26" t="n"/>
      <c r="I57" s="9" t="n"/>
      <c r="J57" s="9" t="n"/>
      <c r="K57" s="11" t="n"/>
      <c r="L57" s="9" t="n"/>
      <c r="M57" s="25" t="n"/>
      <c r="N57" s="7">
        <f>IF(D57="","",IF(AND(J57&lt;&gt;"",J57&gt;=100,K57&lt;&gt;"",K57&lt;0.02),"제목·메타설명 수정",IF(AND(I57&lt;&gt;"",I57&gt;=8,I57&lt;=20),"본문 보강(표·FAQ·경험)",IF(AND(G57&lt;&gt;"",COUNT($G$2:$G$300)&gt;=5,G57&lt;=PERCENTILE($G$2:$G$300,0.3)),"하위30%: 제목·첫문단 수정","유지"))))</f>
        <v/>
      </c>
    </row>
    <row r="58">
      <c r="A58" s="25" t="n"/>
      <c r="B58" s="9" t="n"/>
      <c r="C58" s="9" t="n"/>
      <c r="D58" s="9" t="n"/>
      <c r="E58" s="9" t="n"/>
      <c r="F58" s="9" t="n"/>
      <c r="G58" s="26" t="n"/>
      <c r="H58" s="26" t="n"/>
      <c r="I58" s="9" t="n"/>
      <c r="J58" s="9" t="n"/>
      <c r="K58" s="11" t="n"/>
      <c r="L58" s="9" t="n"/>
      <c r="M58" s="25" t="n"/>
      <c r="N58" s="7">
        <f>IF(D58="","",IF(AND(J58&lt;&gt;"",J58&gt;=100,K58&lt;&gt;"",K58&lt;0.02),"제목·메타설명 수정",IF(AND(I58&lt;&gt;"",I58&gt;=8,I58&lt;=20),"본문 보강(표·FAQ·경험)",IF(AND(G58&lt;&gt;"",COUNT($G$2:$G$300)&gt;=5,G58&lt;=PERCENTILE($G$2:$G$300,0.3)),"하위30%: 제목·첫문단 수정","유지"))))</f>
        <v/>
      </c>
    </row>
    <row r="59">
      <c r="A59" s="25" t="n"/>
      <c r="B59" s="9" t="n"/>
      <c r="C59" s="9" t="n"/>
      <c r="D59" s="9" t="n"/>
      <c r="E59" s="9" t="n"/>
      <c r="F59" s="9" t="n"/>
      <c r="G59" s="26" t="n"/>
      <c r="H59" s="26" t="n"/>
      <c r="I59" s="9" t="n"/>
      <c r="J59" s="9" t="n"/>
      <c r="K59" s="11" t="n"/>
      <c r="L59" s="9" t="n"/>
      <c r="M59" s="25" t="n"/>
      <c r="N59" s="7">
        <f>IF(D59="","",IF(AND(J59&lt;&gt;"",J59&gt;=100,K59&lt;&gt;"",K59&lt;0.02),"제목·메타설명 수정",IF(AND(I59&lt;&gt;"",I59&gt;=8,I59&lt;=20),"본문 보강(표·FAQ·경험)",IF(AND(G59&lt;&gt;"",COUNT($G$2:$G$300)&gt;=5,G59&lt;=PERCENTILE($G$2:$G$300,0.3)),"하위30%: 제목·첫문단 수정","유지"))))</f>
        <v/>
      </c>
    </row>
    <row r="60">
      <c r="A60" s="25" t="n"/>
      <c r="B60" s="9" t="n"/>
      <c r="C60" s="9" t="n"/>
      <c r="D60" s="9" t="n"/>
      <c r="E60" s="9" t="n"/>
      <c r="F60" s="9" t="n"/>
      <c r="G60" s="26" t="n"/>
      <c r="H60" s="26" t="n"/>
      <c r="I60" s="9" t="n"/>
      <c r="J60" s="9" t="n"/>
      <c r="K60" s="11" t="n"/>
      <c r="L60" s="9" t="n"/>
      <c r="M60" s="25" t="n"/>
      <c r="N60" s="7">
        <f>IF(D60="","",IF(AND(J60&lt;&gt;"",J60&gt;=100,K60&lt;&gt;"",K60&lt;0.02),"제목·메타설명 수정",IF(AND(I60&lt;&gt;"",I60&gt;=8,I60&lt;=20),"본문 보강(표·FAQ·경험)",IF(AND(G60&lt;&gt;"",COUNT($G$2:$G$300)&gt;=5,G60&lt;=PERCENTILE($G$2:$G$300,0.3)),"하위30%: 제목·첫문단 수정","유지"))))</f>
        <v/>
      </c>
    </row>
    <row r="61">
      <c r="A61" s="27" t="n"/>
      <c r="B61" s="28" t="n"/>
      <c r="C61" s="28" t="n"/>
      <c r="D61" s="28" t="n"/>
      <c r="E61" s="28" t="n"/>
      <c r="F61" s="28" t="n"/>
      <c r="G61" s="29" t="n"/>
      <c r="H61" s="29" t="n"/>
      <c r="I61" s="28" t="n"/>
      <c r="J61" s="28" t="n"/>
      <c r="K61" s="30" t="n"/>
      <c r="L61" s="28" t="n"/>
      <c r="M61" s="27" t="n"/>
      <c r="N61" s="2">
        <f>IF(D61="","",IF(AND(J61&lt;&gt;"",J61&gt;=100,K61&lt;&gt;"",K61&lt;0.02),"제목·메타설명 수정",IF(AND(I61&lt;&gt;"",I61&gt;=8,I61&lt;=20),"본문 보강(표·FAQ·경험)",IF(AND(G61&lt;&gt;"",COUNT($G$2:$G$300)&gt;=5,G61&lt;=PERCENTILE($G$2:$G$300,0.3)),"하위30%: 제목·첫문단 수정","유지"))))</f>
        <v/>
      </c>
    </row>
    <row r="62">
      <c r="A62" s="27" t="n"/>
      <c r="B62" s="28" t="n"/>
      <c r="C62" s="28" t="n"/>
      <c r="D62" s="28" t="n"/>
      <c r="E62" s="28" t="n"/>
      <c r="F62" s="28" t="n"/>
      <c r="G62" s="29" t="n"/>
      <c r="H62" s="29" t="n"/>
      <c r="I62" s="28" t="n"/>
      <c r="J62" s="28" t="n"/>
      <c r="K62" s="30" t="n"/>
      <c r="L62" s="28" t="n"/>
      <c r="M62" s="27" t="n"/>
      <c r="N62" s="2">
        <f>IF(D62="","",IF(AND(J62&lt;&gt;"",J62&gt;=100,K62&lt;&gt;"",K62&lt;0.02),"제목·메타설명 수정",IF(AND(I62&lt;&gt;"",I62&gt;=8,I62&lt;=20),"본문 보강(표·FAQ·경험)",IF(AND(G62&lt;&gt;"",COUNT($G$2:$G$300)&gt;=5,G62&lt;=PERCENTILE($G$2:$G$300,0.3)),"하위30%: 제목·첫문단 수정","유지"))))</f>
        <v/>
      </c>
    </row>
    <row r="63">
      <c r="A63" s="27" t="n"/>
      <c r="B63" s="28" t="n"/>
      <c r="C63" s="28" t="n"/>
      <c r="D63" s="28" t="n"/>
      <c r="E63" s="28" t="n"/>
      <c r="F63" s="28" t="n"/>
      <c r="G63" s="29" t="n"/>
      <c r="H63" s="29" t="n"/>
      <c r="I63" s="28" t="n"/>
      <c r="J63" s="28" t="n"/>
      <c r="K63" s="30" t="n"/>
      <c r="L63" s="28" t="n"/>
      <c r="M63" s="27" t="n"/>
      <c r="N63" s="2">
        <f>IF(D63="","",IF(AND(J63&lt;&gt;"",J63&gt;=100,K63&lt;&gt;"",K63&lt;0.02),"제목·메타설명 수정",IF(AND(I63&lt;&gt;"",I63&gt;=8,I63&lt;=20),"본문 보강(표·FAQ·경험)",IF(AND(G63&lt;&gt;"",COUNT($G$2:$G$300)&gt;=5,G63&lt;=PERCENTILE($G$2:$G$300,0.3)),"하위30%: 제목·첫문단 수정","유지"))))</f>
        <v/>
      </c>
    </row>
    <row r="64">
      <c r="A64" s="27" t="n"/>
      <c r="B64" s="28" t="n"/>
      <c r="C64" s="28" t="n"/>
      <c r="D64" s="28" t="n"/>
      <c r="E64" s="28" t="n"/>
      <c r="F64" s="28" t="n"/>
      <c r="G64" s="29" t="n"/>
      <c r="H64" s="29" t="n"/>
      <c r="I64" s="28" t="n"/>
      <c r="J64" s="28" t="n"/>
      <c r="K64" s="30" t="n"/>
      <c r="L64" s="28" t="n"/>
      <c r="M64" s="27" t="n"/>
      <c r="N64" s="2">
        <f>IF(D64="","",IF(AND(J64&lt;&gt;"",J64&gt;=100,K64&lt;&gt;"",K64&lt;0.02),"제목·메타설명 수정",IF(AND(I64&lt;&gt;"",I64&gt;=8,I64&lt;=20),"본문 보강(표·FAQ·경험)",IF(AND(G64&lt;&gt;"",COUNT($G$2:$G$300)&gt;=5,G64&lt;=PERCENTILE($G$2:$G$300,0.3)),"하위30%: 제목·첫문단 수정","유지"))))</f>
        <v/>
      </c>
    </row>
    <row r="65">
      <c r="A65" s="27" t="n"/>
      <c r="B65" s="28" t="n"/>
      <c r="C65" s="28" t="n"/>
      <c r="D65" s="28" t="n"/>
      <c r="E65" s="28" t="n"/>
      <c r="F65" s="28" t="n"/>
      <c r="G65" s="29" t="n"/>
      <c r="H65" s="29" t="n"/>
      <c r="I65" s="28" t="n"/>
      <c r="J65" s="28" t="n"/>
      <c r="K65" s="30" t="n"/>
      <c r="L65" s="28" t="n"/>
      <c r="M65" s="27" t="n"/>
      <c r="N65" s="2">
        <f>IF(D65="","",IF(AND(J65&lt;&gt;"",J65&gt;=100,K65&lt;&gt;"",K65&lt;0.02),"제목·메타설명 수정",IF(AND(I65&lt;&gt;"",I65&gt;=8,I65&lt;=20),"본문 보강(표·FAQ·경험)",IF(AND(G65&lt;&gt;"",COUNT($G$2:$G$300)&gt;=5,G65&lt;=PERCENTILE($G$2:$G$300,0.3)),"하위30%: 제목·첫문단 수정","유지"))))</f>
        <v/>
      </c>
    </row>
    <row r="66">
      <c r="A66" s="27" t="n"/>
      <c r="B66" s="28" t="n"/>
      <c r="C66" s="28" t="n"/>
      <c r="D66" s="28" t="n"/>
      <c r="E66" s="28" t="n"/>
      <c r="F66" s="28" t="n"/>
      <c r="G66" s="29" t="n"/>
      <c r="H66" s="29" t="n"/>
      <c r="I66" s="28" t="n"/>
      <c r="J66" s="28" t="n"/>
      <c r="K66" s="30" t="n"/>
      <c r="L66" s="28" t="n"/>
      <c r="M66" s="27" t="n"/>
      <c r="N66" s="2">
        <f>IF(D66="","",IF(AND(J66&lt;&gt;"",J66&gt;=100,K66&lt;&gt;"",K66&lt;0.02),"제목·메타설명 수정",IF(AND(I66&lt;&gt;"",I66&gt;=8,I66&lt;=20),"본문 보강(표·FAQ·경험)",IF(AND(G66&lt;&gt;"",COUNT($G$2:$G$300)&gt;=5,G66&lt;=PERCENTILE($G$2:$G$300,0.3)),"하위30%: 제목·첫문단 수정","유지"))))</f>
        <v/>
      </c>
    </row>
    <row r="67">
      <c r="A67" s="27" t="n"/>
      <c r="B67" s="28" t="n"/>
      <c r="C67" s="28" t="n"/>
      <c r="D67" s="28" t="n"/>
      <c r="E67" s="28" t="n"/>
      <c r="F67" s="28" t="n"/>
      <c r="G67" s="29" t="n"/>
      <c r="H67" s="29" t="n"/>
      <c r="I67" s="28" t="n"/>
      <c r="J67" s="28" t="n"/>
      <c r="K67" s="30" t="n"/>
      <c r="L67" s="28" t="n"/>
      <c r="M67" s="27" t="n"/>
      <c r="N67" s="2">
        <f>IF(D67="","",IF(AND(J67&lt;&gt;"",J67&gt;=100,K67&lt;&gt;"",K67&lt;0.02),"제목·메타설명 수정",IF(AND(I67&lt;&gt;"",I67&gt;=8,I67&lt;=20),"본문 보강(표·FAQ·경험)",IF(AND(G67&lt;&gt;"",COUNT($G$2:$G$300)&gt;=5,G67&lt;=PERCENTILE($G$2:$G$300,0.3)),"하위30%: 제목·첫문단 수정","유지"))))</f>
        <v/>
      </c>
    </row>
    <row r="68">
      <c r="A68" s="27" t="n"/>
      <c r="B68" s="28" t="n"/>
      <c r="C68" s="28" t="n"/>
      <c r="D68" s="28" t="n"/>
      <c r="E68" s="28" t="n"/>
      <c r="F68" s="28" t="n"/>
      <c r="G68" s="29" t="n"/>
      <c r="H68" s="29" t="n"/>
      <c r="I68" s="28" t="n"/>
      <c r="J68" s="28" t="n"/>
      <c r="K68" s="30" t="n"/>
      <c r="L68" s="28" t="n"/>
      <c r="M68" s="27" t="n"/>
      <c r="N68" s="2">
        <f>IF(D68="","",IF(AND(J68&lt;&gt;"",J68&gt;=100,K68&lt;&gt;"",K68&lt;0.02),"제목·메타설명 수정",IF(AND(I68&lt;&gt;"",I68&gt;=8,I68&lt;=20),"본문 보강(표·FAQ·경험)",IF(AND(G68&lt;&gt;"",COUNT($G$2:$G$300)&gt;=5,G68&lt;=PERCENTILE($G$2:$G$300,0.3)),"하위30%: 제목·첫문단 수정","유지"))))</f>
        <v/>
      </c>
    </row>
    <row r="69">
      <c r="A69" s="27" t="n"/>
      <c r="B69" s="28" t="n"/>
      <c r="C69" s="28" t="n"/>
      <c r="D69" s="28" t="n"/>
      <c r="E69" s="28" t="n"/>
      <c r="F69" s="28" t="n"/>
      <c r="G69" s="29" t="n"/>
      <c r="H69" s="29" t="n"/>
      <c r="I69" s="28" t="n"/>
      <c r="J69" s="28" t="n"/>
      <c r="K69" s="30" t="n"/>
      <c r="L69" s="28" t="n"/>
      <c r="M69" s="27" t="n"/>
      <c r="N69" s="2">
        <f>IF(D69="","",IF(AND(J69&lt;&gt;"",J69&gt;=100,K69&lt;&gt;"",K69&lt;0.02),"제목·메타설명 수정",IF(AND(I69&lt;&gt;"",I69&gt;=8,I69&lt;=20),"본문 보강(표·FAQ·경험)",IF(AND(G69&lt;&gt;"",COUNT($G$2:$G$300)&gt;=5,G69&lt;=PERCENTILE($G$2:$G$300,0.3)),"하위30%: 제목·첫문단 수정","유지"))))</f>
        <v/>
      </c>
    </row>
    <row r="70">
      <c r="A70" s="27" t="n"/>
      <c r="B70" s="28" t="n"/>
      <c r="C70" s="28" t="n"/>
      <c r="D70" s="28" t="n"/>
      <c r="E70" s="28" t="n"/>
      <c r="F70" s="28" t="n"/>
      <c r="G70" s="29" t="n"/>
      <c r="H70" s="29" t="n"/>
      <c r="I70" s="28" t="n"/>
      <c r="J70" s="28" t="n"/>
      <c r="K70" s="30" t="n"/>
      <c r="L70" s="28" t="n"/>
      <c r="M70" s="27" t="n"/>
      <c r="N70" s="2">
        <f>IF(D70="","",IF(AND(J70&lt;&gt;"",J70&gt;=100,K70&lt;&gt;"",K70&lt;0.02),"제목·메타설명 수정",IF(AND(I70&lt;&gt;"",I70&gt;=8,I70&lt;=20),"본문 보강(표·FAQ·경험)",IF(AND(G70&lt;&gt;"",COUNT($G$2:$G$300)&gt;=5,G70&lt;=PERCENTILE($G$2:$G$300,0.3)),"하위30%: 제목·첫문단 수정","유지"))))</f>
        <v/>
      </c>
    </row>
    <row r="71">
      <c r="A71" s="27" t="n"/>
      <c r="B71" s="28" t="n"/>
      <c r="C71" s="28" t="n"/>
      <c r="D71" s="28" t="n"/>
      <c r="E71" s="28" t="n"/>
      <c r="F71" s="28" t="n"/>
      <c r="G71" s="29" t="n"/>
      <c r="H71" s="29" t="n"/>
      <c r="I71" s="28" t="n"/>
      <c r="J71" s="28" t="n"/>
      <c r="K71" s="30" t="n"/>
      <c r="L71" s="28" t="n"/>
      <c r="M71" s="27" t="n"/>
      <c r="N71" s="2">
        <f>IF(D71="","",IF(AND(J71&lt;&gt;"",J71&gt;=100,K71&lt;&gt;"",K71&lt;0.02),"제목·메타설명 수정",IF(AND(I71&lt;&gt;"",I71&gt;=8,I71&lt;=20),"본문 보강(표·FAQ·경험)",IF(AND(G71&lt;&gt;"",COUNT($G$2:$G$300)&gt;=5,G71&lt;=PERCENTILE($G$2:$G$300,0.3)),"하위30%: 제목·첫문단 수정","유지"))))</f>
        <v/>
      </c>
    </row>
    <row r="72">
      <c r="A72" s="27" t="n"/>
      <c r="B72" s="28" t="n"/>
      <c r="C72" s="28" t="n"/>
      <c r="D72" s="28" t="n"/>
      <c r="E72" s="28" t="n"/>
      <c r="F72" s="28" t="n"/>
      <c r="G72" s="29" t="n"/>
      <c r="H72" s="29" t="n"/>
      <c r="I72" s="28" t="n"/>
      <c r="J72" s="28" t="n"/>
      <c r="K72" s="30" t="n"/>
      <c r="L72" s="28" t="n"/>
      <c r="M72" s="27" t="n"/>
      <c r="N72" s="2">
        <f>IF(D72="","",IF(AND(J72&lt;&gt;"",J72&gt;=100,K72&lt;&gt;"",K72&lt;0.02),"제목·메타설명 수정",IF(AND(I72&lt;&gt;"",I72&gt;=8,I72&lt;=20),"본문 보강(표·FAQ·경험)",IF(AND(G72&lt;&gt;"",COUNT($G$2:$G$300)&gt;=5,G72&lt;=PERCENTILE($G$2:$G$300,0.3)),"하위30%: 제목·첫문단 수정","유지"))))</f>
        <v/>
      </c>
    </row>
    <row r="73">
      <c r="A73" s="27" t="n"/>
      <c r="B73" s="28" t="n"/>
      <c r="C73" s="28" t="n"/>
      <c r="D73" s="28" t="n"/>
      <c r="E73" s="28" t="n"/>
      <c r="F73" s="28" t="n"/>
      <c r="G73" s="29" t="n"/>
      <c r="H73" s="29" t="n"/>
      <c r="I73" s="28" t="n"/>
      <c r="J73" s="28" t="n"/>
      <c r="K73" s="30" t="n"/>
      <c r="L73" s="28" t="n"/>
      <c r="M73" s="27" t="n"/>
      <c r="N73" s="2">
        <f>IF(D73="","",IF(AND(J73&lt;&gt;"",J73&gt;=100,K73&lt;&gt;"",K73&lt;0.02),"제목·메타설명 수정",IF(AND(I73&lt;&gt;"",I73&gt;=8,I73&lt;=20),"본문 보강(표·FAQ·경험)",IF(AND(G73&lt;&gt;"",COUNT($G$2:$G$300)&gt;=5,G73&lt;=PERCENTILE($G$2:$G$300,0.3)),"하위30%: 제목·첫문단 수정","유지"))))</f>
        <v/>
      </c>
    </row>
    <row r="74">
      <c r="A74" s="27" t="n"/>
      <c r="B74" s="28" t="n"/>
      <c r="C74" s="28" t="n"/>
      <c r="D74" s="28" t="n"/>
      <c r="E74" s="28" t="n"/>
      <c r="F74" s="28" t="n"/>
      <c r="G74" s="29" t="n"/>
      <c r="H74" s="29" t="n"/>
      <c r="I74" s="28" t="n"/>
      <c r="J74" s="28" t="n"/>
      <c r="K74" s="30" t="n"/>
      <c r="L74" s="28" t="n"/>
      <c r="M74" s="27" t="n"/>
      <c r="N74" s="2">
        <f>IF(D74="","",IF(AND(J74&lt;&gt;"",J74&gt;=100,K74&lt;&gt;"",K74&lt;0.02),"제목·메타설명 수정",IF(AND(I74&lt;&gt;"",I74&gt;=8,I74&lt;=20),"본문 보강(표·FAQ·경험)",IF(AND(G74&lt;&gt;"",COUNT($G$2:$G$300)&gt;=5,G74&lt;=PERCENTILE($G$2:$G$300,0.3)),"하위30%: 제목·첫문단 수정","유지"))))</f>
        <v/>
      </c>
    </row>
    <row r="75">
      <c r="A75" s="27" t="n"/>
      <c r="B75" s="28" t="n"/>
      <c r="C75" s="28" t="n"/>
      <c r="D75" s="28" t="n"/>
      <c r="E75" s="28" t="n"/>
      <c r="F75" s="28" t="n"/>
      <c r="G75" s="29" t="n"/>
      <c r="H75" s="29" t="n"/>
      <c r="I75" s="28" t="n"/>
      <c r="J75" s="28" t="n"/>
      <c r="K75" s="30" t="n"/>
      <c r="L75" s="28" t="n"/>
      <c r="M75" s="27" t="n"/>
      <c r="N75" s="2">
        <f>IF(D75="","",IF(AND(J75&lt;&gt;"",J75&gt;=100,K75&lt;&gt;"",K75&lt;0.02),"제목·메타설명 수정",IF(AND(I75&lt;&gt;"",I75&gt;=8,I75&lt;=20),"본문 보강(표·FAQ·경험)",IF(AND(G75&lt;&gt;"",COUNT($G$2:$G$300)&gt;=5,G75&lt;=PERCENTILE($G$2:$G$300,0.3)),"하위30%: 제목·첫문단 수정","유지"))))</f>
        <v/>
      </c>
    </row>
    <row r="76">
      <c r="A76" s="27" t="n"/>
      <c r="B76" s="28" t="n"/>
      <c r="C76" s="28" t="n"/>
      <c r="D76" s="28" t="n"/>
      <c r="E76" s="28" t="n"/>
      <c r="F76" s="28" t="n"/>
      <c r="G76" s="29" t="n"/>
      <c r="H76" s="29" t="n"/>
      <c r="I76" s="28" t="n"/>
      <c r="J76" s="28" t="n"/>
      <c r="K76" s="30" t="n"/>
      <c r="L76" s="28" t="n"/>
      <c r="M76" s="27" t="n"/>
      <c r="N76" s="2">
        <f>IF(D76="","",IF(AND(J76&lt;&gt;"",J76&gt;=100,K76&lt;&gt;"",K76&lt;0.02),"제목·메타설명 수정",IF(AND(I76&lt;&gt;"",I76&gt;=8,I76&lt;=20),"본문 보강(표·FAQ·경험)",IF(AND(G76&lt;&gt;"",COUNT($G$2:$G$300)&gt;=5,G76&lt;=PERCENTILE($G$2:$G$300,0.3)),"하위30%: 제목·첫문단 수정","유지"))))</f>
        <v/>
      </c>
    </row>
    <row r="77">
      <c r="A77" s="27" t="n"/>
      <c r="B77" s="28" t="n"/>
      <c r="C77" s="28" t="n"/>
      <c r="D77" s="28" t="n"/>
      <c r="E77" s="28" t="n"/>
      <c r="F77" s="28" t="n"/>
      <c r="G77" s="29" t="n"/>
      <c r="H77" s="29" t="n"/>
      <c r="I77" s="28" t="n"/>
      <c r="J77" s="28" t="n"/>
      <c r="K77" s="30" t="n"/>
      <c r="L77" s="28" t="n"/>
      <c r="M77" s="27" t="n"/>
      <c r="N77" s="2">
        <f>IF(D77="","",IF(AND(J77&lt;&gt;"",J77&gt;=100,K77&lt;&gt;"",K77&lt;0.02),"제목·메타설명 수정",IF(AND(I77&lt;&gt;"",I77&gt;=8,I77&lt;=20),"본문 보강(표·FAQ·경험)",IF(AND(G77&lt;&gt;"",COUNT($G$2:$G$300)&gt;=5,G77&lt;=PERCENTILE($G$2:$G$300,0.3)),"하위30%: 제목·첫문단 수정","유지"))))</f>
        <v/>
      </c>
    </row>
    <row r="78">
      <c r="A78" s="27" t="n"/>
      <c r="B78" s="28" t="n"/>
      <c r="C78" s="28" t="n"/>
      <c r="D78" s="28" t="n"/>
      <c r="E78" s="28" t="n"/>
      <c r="F78" s="28" t="n"/>
      <c r="G78" s="29" t="n"/>
      <c r="H78" s="29" t="n"/>
      <c r="I78" s="28" t="n"/>
      <c r="J78" s="28" t="n"/>
      <c r="K78" s="30" t="n"/>
      <c r="L78" s="28" t="n"/>
      <c r="M78" s="27" t="n"/>
      <c r="N78" s="2">
        <f>IF(D78="","",IF(AND(J78&lt;&gt;"",J78&gt;=100,K78&lt;&gt;"",K78&lt;0.02),"제목·메타설명 수정",IF(AND(I78&lt;&gt;"",I78&gt;=8,I78&lt;=20),"본문 보강(표·FAQ·경험)",IF(AND(G78&lt;&gt;"",COUNT($G$2:$G$300)&gt;=5,G78&lt;=PERCENTILE($G$2:$G$300,0.3)),"하위30%: 제목·첫문단 수정","유지"))))</f>
        <v/>
      </c>
    </row>
    <row r="79">
      <c r="A79" s="27" t="n"/>
      <c r="B79" s="28" t="n"/>
      <c r="C79" s="28" t="n"/>
      <c r="D79" s="28" t="n"/>
      <c r="E79" s="28" t="n"/>
      <c r="F79" s="28" t="n"/>
      <c r="G79" s="29" t="n"/>
      <c r="H79" s="29" t="n"/>
      <c r="I79" s="28" t="n"/>
      <c r="J79" s="28" t="n"/>
      <c r="K79" s="30" t="n"/>
      <c r="L79" s="28" t="n"/>
      <c r="M79" s="27" t="n"/>
      <c r="N79" s="2">
        <f>IF(D79="","",IF(AND(J79&lt;&gt;"",J79&gt;=100,K79&lt;&gt;"",K79&lt;0.02),"제목·메타설명 수정",IF(AND(I79&lt;&gt;"",I79&gt;=8,I79&lt;=20),"본문 보강(표·FAQ·경험)",IF(AND(G79&lt;&gt;"",COUNT($G$2:$G$300)&gt;=5,G79&lt;=PERCENTILE($G$2:$G$300,0.3)),"하위30%: 제목·첫문단 수정","유지"))))</f>
        <v/>
      </c>
    </row>
    <row r="80">
      <c r="A80" s="27" t="n"/>
      <c r="B80" s="28" t="n"/>
      <c r="C80" s="28" t="n"/>
      <c r="D80" s="28" t="n"/>
      <c r="E80" s="28" t="n"/>
      <c r="F80" s="28" t="n"/>
      <c r="G80" s="29" t="n"/>
      <c r="H80" s="29" t="n"/>
      <c r="I80" s="28" t="n"/>
      <c r="J80" s="28" t="n"/>
      <c r="K80" s="30" t="n"/>
      <c r="L80" s="28" t="n"/>
      <c r="M80" s="27" t="n"/>
      <c r="N80" s="2">
        <f>IF(D80="","",IF(AND(J80&lt;&gt;"",J80&gt;=100,K80&lt;&gt;"",K80&lt;0.02),"제목·메타설명 수정",IF(AND(I80&lt;&gt;"",I80&gt;=8,I80&lt;=20),"본문 보강(표·FAQ·경험)",IF(AND(G80&lt;&gt;"",COUNT($G$2:$G$300)&gt;=5,G80&lt;=PERCENTILE($G$2:$G$300,0.3)),"하위30%: 제목·첫문단 수정","유지"))))</f>
        <v/>
      </c>
    </row>
    <row r="81">
      <c r="A81" s="27" t="n"/>
      <c r="B81" s="28" t="n"/>
      <c r="C81" s="28" t="n"/>
      <c r="D81" s="28" t="n"/>
      <c r="E81" s="28" t="n"/>
      <c r="F81" s="28" t="n"/>
      <c r="G81" s="29" t="n"/>
      <c r="H81" s="29" t="n"/>
      <c r="I81" s="28" t="n"/>
      <c r="J81" s="28" t="n"/>
      <c r="K81" s="30" t="n"/>
      <c r="L81" s="28" t="n"/>
      <c r="M81" s="27" t="n"/>
      <c r="N81" s="2">
        <f>IF(D81="","",IF(AND(J81&lt;&gt;"",J81&gt;=100,K81&lt;&gt;"",K81&lt;0.02),"제목·메타설명 수정",IF(AND(I81&lt;&gt;"",I81&gt;=8,I81&lt;=20),"본문 보강(표·FAQ·경험)",IF(AND(G81&lt;&gt;"",COUNT($G$2:$G$300)&gt;=5,G81&lt;=PERCENTILE($G$2:$G$300,0.3)),"하위30%: 제목·첫문단 수정","유지"))))</f>
        <v/>
      </c>
    </row>
    <row r="82">
      <c r="A82" s="27" t="n"/>
      <c r="B82" s="28" t="n"/>
      <c r="C82" s="28" t="n"/>
      <c r="D82" s="28" t="n"/>
      <c r="E82" s="28" t="n"/>
      <c r="F82" s="28" t="n"/>
      <c r="G82" s="29" t="n"/>
      <c r="H82" s="29" t="n"/>
      <c r="I82" s="28" t="n"/>
      <c r="J82" s="28" t="n"/>
      <c r="K82" s="30" t="n"/>
      <c r="L82" s="28" t="n"/>
      <c r="M82" s="27" t="n"/>
      <c r="N82" s="2">
        <f>IF(D82="","",IF(AND(J82&lt;&gt;"",J82&gt;=100,K82&lt;&gt;"",K82&lt;0.02),"제목·메타설명 수정",IF(AND(I82&lt;&gt;"",I82&gt;=8,I82&lt;=20),"본문 보강(표·FAQ·경험)",IF(AND(G82&lt;&gt;"",COUNT($G$2:$G$300)&gt;=5,G82&lt;=PERCENTILE($G$2:$G$300,0.3)),"하위30%: 제목·첫문단 수정","유지"))))</f>
        <v/>
      </c>
    </row>
    <row r="83">
      <c r="A83" s="27" t="n"/>
      <c r="B83" s="28" t="n"/>
      <c r="C83" s="28" t="n"/>
      <c r="D83" s="28" t="n"/>
      <c r="E83" s="28" t="n"/>
      <c r="F83" s="28" t="n"/>
      <c r="G83" s="29" t="n"/>
      <c r="H83" s="29" t="n"/>
      <c r="I83" s="28" t="n"/>
      <c r="J83" s="28" t="n"/>
      <c r="K83" s="30" t="n"/>
      <c r="L83" s="28" t="n"/>
      <c r="M83" s="27" t="n"/>
      <c r="N83" s="2">
        <f>IF(D83="","",IF(AND(J83&lt;&gt;"",J83&gt;=100,K83&lt;&gt;"",K83&lt;0.02),"제목·메타설명 수정",IF(AND(I83&lt;&gt;"",I83&gt;=8,I83&lt;=20),"본문 보강(표·FAQ·경험)",IF(AND(G83&lt;&gt;"",COUNT($G$2:$G$300)&gt;=5,G83&lt;=PERCENTILE($G$2:$G$300,0.3)),"하위30%: 제목·첫문단 수정","유지"))))</f>
        <v/>
      </c>
    </row>
    <row r="84">
      <c r="A84" s="27" t="n"/>
      <c r="B84" s="28" t="n"/>
      <c r="C84" s="28" t="n"/>
      <c r="D84" s="28" t="n"/>
      <c r="E84" s="28" t="n"/>
      <c r="F84" s="28" t="n"/>
      <c r="G84" s="29" t="n"/>
      <c r="H84" s="29" t="n"/>
      <c r="I84" s="28" t="n"/>
      <c r="J84" s="28" t="n"/>
      <c r="K84" s="30" t="n"/>
      <c r="L84" s="28" t="n"/>
      <c r="M84" s="27" t="n"/>
      <c r="N84" s="2">
        <f>IF(D84="","",IF(AND(J84&lt;&gt;"",J84&gt;=100,K84&lt;&gt;"",K84&lt;0.02),"제목·메타설명 수정",IF(AND(I84&lt;&gt;"",I84&gt;=8,I84&lt;=20),"본문 보강(표·FAQ·경험)",IF(AND(G84&lt;&gt;"",COUNT($G$2:$G$300)&gt;=5,G84&lt;=PERCENTILE($G$2:$G$300,0.3)),"하위30%: 제목·첫문단 수정","유지"))))</f>
        <v/>
      </c>
    </row>
    <row r="85">
      <c r="A85" s="27" t="n"/>
      <c r="B85" s="28" t="n"/>
      <c r="C85" s="28" t="n"/>
      <c r="D85" s="28" t="n"/>
      <c r="E85" s="28" t="n"/>
      <c r="F85" s="28" t="n"/>
      <c r="G85" s="29" t="n"/>
      <c r="H85" s="29" t="n"/>
      <c r="I85" s="28" t="n"/>
      <c r="J85" s="28" t="n"/>
      <c r="K85" s="30" t="n"/>
      <c r="L85" s="28" t="n"/>
      <c r="M85" s="27" t="n"/>
      <c r="N85" s="2">
        <f>IF(D85="","",IF(AND(J85&lt;&gt;"",J85&gt;=100,K85&lt;&gt;"",K85&lt;0.02),"제목·메타설명 수정",IF(AND(I85&lt;&gt;"",I85&gt;=8,I85&lt;=20),"본문 보강(표·FAQ·경험)",IF(AND(G85&lt;&gt;"",COUNT($G$2:$G$300)&gt;=5,G85&lt;=PERCENTILE($G$2:$G$300,0.3)),"하위30%: 제목·첫문단 수정","유지"))))</f>
        <v/>
      </c>
    </row>
    <row r="86">
      <c r="A86" s="27" t="n"/>
      <c r="B86" s="28" t="n"/>
      <c r="C86" s="28" t="n"/>
      <c r="D86" s="28" t="n"/>
      <c r="E86" s="28" t="n"/>
      <c r="F86" s="28" t="n"/>
      <c r="G86" s="29" t="n"/>
      <c r="H86" s="29" t="n"/>
      <c r="I86" s="28" t="n"/>
      <c r="J86" s="28" t="n"/>
      <c r="K86" s="30" t="n"/>
      <c r="L86" s="28" t="n"/>
      <c r="M86" s="27" t="n"/>
      <c r="N86" s="2">
        <f>IF(D86="","",IF(AND(J86&lt;&gt;"",J86&gt;=100,K86&lt;&gt;"",K86&lt;0.02),"제목·메타설명 수정",IF(AND(I86&lt;&gt;"",I86&gt;=8,I86&lt;=20),"본문 보강(표·FAQ·경험)",IF(AND(G86&lt;&gt;"",COUNT($G$2:$G$300)&gt;=5,G86&lt;=PERCENTILE($G$2:$G$300,0.3)),"하위30%: 제목·첫문단 수정","유지"))))</f>
        <v/>
      </c>
    </row>
    <row r="87">
      <c r="A87" s="27" t="n"/>
      <c r="B87" s="28" t="n"/>
      <c r="C87" s="28" t="n"/>
      <c r="D87" s="28" t="n"/>
      <c r="E87" s="28" t="n"/>
      <c r="F87" s="28" t="n"/>
      <c r="G87" s="29" t="n"/>
      <c r="H87" s="29" t="n"/>
      <c r="I87" s="28" t="n"/>
      <c r="J87" s="28" t="n"/>
      <c r="K87" s="30" t="n"/>
      <c r="L87" s="28" t="n"/>
      <c r="M87" s="27" t="n"/>
      <c r="N87" s="2">
        <f>IF(D87="","",IF(AND(J87&lt;&gt;"",J87&gt;=100,K87&lt;&gt;"",K87&lt;0.02),"제목·메타설명 수정",IF(AND(I87&lt;&gt;"",I87&gt;=8,I87&lt;=20),"본문 보강(표·FAQ·경험)",IF(AND(G87&lt;&gt;"",COUNT($G$2:$G$300)&gt;=5,G87&lt;=PERCENTILE($G$2:$G$300,0.3)),"하위30%: 제목·첫문단 수정","유지"))))</f>
        <v/>
      </c>
    </row>
    <row r="88">
      <c r="A88" s="27" t="n"/>
      <c r="B88" s="28" t="n"/>
      <c r="C88" s="28" t="n"/>
      <c r="D88" s="28" t="n"/>
      <c r="E88" s="28" t="n"/>
      <c r="F88" s="28" t="n"/>
      <c r="G88" s="29" t="n"/>
      <c r="H88" s="29" t="n"/>
      <c r="I88" s="28" t="n"/>
      <c r="J88" s="28" t="n"/>
      <c r="K88" s="30" t="n"/>
      <c r="L88" s="28" t="n"/>
      <c r="M88" s="27" t="n"/>
      <c r="N88" s="2">
        <f>IF(D88="","",IF(AND(J88&lt;&gt;"",J88&gt;=100,K88&lt;&gt;"",K88&lt;0.02),"제목·메타설명 수정",IF(AND(I88&lt;&gt;"",I88&gt;=8,I88&lt;=20),"본문 보강(표·FAQ·경험)",IF(AND(G88&lt;&gt;"",COUNT($G$2:$G$300)&gt;=5,G88&lt;=PERCENTILE($G$2:$G$300,0.3)),"하위30%: 제목·첫문단 수정","유지"))))</f>
        <v/>
      </c>
    </row>
    <row r="89">
      <c r="A89" s="27" t="n"/>
      <c r="B89" s="28" t="n"/>
      <c r="C89" s="28" t="n"/>
      <c r="D89" s="28" t="n"/>
      <c r="E89" s="28" t="n"/>
      <c r="F89" s="28" t="n"/>
      <c r="G89" s="29" t="n"/>
      <c r="H89" s="29" t="n"/>
      <c r="I89" s="28" t="n"/>
      <c r="J89" s="28" t="n"/>
      <c r="K89" s="30" t="n"/>
      <c r="L89" s="28" t="n"/>
      <c r="M89" s="27" t="n"/>
      <c r="N89" s="2">
        <f>IF(D89="","",IF(AND(J89&lt;&gt;"",J89&gt;=100,K89&lt;&gt;"",K89&lt;0.02),"제목·메타설명 수정",IF(AND(I89&lt;&gt;"",I89&gt;=8,I89&lt;=20),"본문 보강(표·FAQ·경험)",IF(AND(G89&lt;&gt;"",COUNT($G$2:$G$300)&gt;=5,G89&lt;=PERCENTILE($G$2:$G$300,0.3)),"하위30%: 제목·첫문단 수정","유지"))))</f>
        <v/>
      </c>
    </row>
    <row r="90">
      <c r="A90" s="27" t="n"/>
      <c r="B90" s="28" t="n"/>
      <c r="C90" s="28" t="n"/>
      <c r="D90" s="28" t="n"/>
      <c r="E90" s="28" t="n"/>
      <c r="F90" s="28" t="n"/>
      <c r="G90" s="29" t="n"/>
      <c r="H90" s="29" t="n"/>
      <c r="I90" s="28" t="n"/>
      <c r="J90" s="28" t="n"/>
      <c r="K90" s="30" t="n"/>
      <c r="L90" s="28" t="n"/>
      <c r="M90" s="27" t="n"/>
      <c r="N90" s="2">
        <f>IF(D90="","",IF(AND(J90&lt;&gt;"",J90&gt;=100,K90&lt;&gt;"",K90&lt;0.02),"제목·메타설명 수정",IF(AND(I90&lt;&gt;"",I90&gt;=8,I90&lt;=20),"본문 보강(표·FAQ·경험)",IF(AND(G90&lt;&gt;"",COUNT($G$2:$G$300)&gt;=5,G90&lt;=PERCENTILE($G$2:$G$300,0.3)),"하위30%: 제목·첫문단 수정","유지"))))</f>
        <v/>
      </c>
    </row>
    <row r="91">
      <c r="A91" s="27" t="n"/>
      <c r="B91" s="28" t="n"/>
      <c r="C91" s="28" t="n"/>
      <c r="D91" s="28" t="n"/>
      <c r="E91" s="28" t="n"/>
      <c r="F91" s="28" t="n"/>
      <c r="G91" s="29" t="n"/>
      <c r="H91" s="29" t="n"/>
      <c r="I91" s="28" t="n"/>
      <c r="J91" s="28" t="n"/>
      <c r="K91" s="30" t="n"/>
      <c r="L91" s="28" t="n"/>
      <c r="M91" s="27" t="n"/>
      <c r="N91" s="2">
        <f>IF(D91="","",IF(AND(J91&lt;&gt;"",J91&gt;=100,K91&lt;&gt;"",K91&lt;0.02),"제목·메타설명 수정",IF(AND(I91&lt;&gt;"",I91&gt;=8,I91&lt;=20),"본문 보강(표·FAQ·경험)",IF(AND(G91&lt;&gt;"",COUNT($G$2:$G$300)&gt;=5,G91&lt;=PERCENTILE($G$2:$G$300,0.3)),"하위30%: 제목·첫문단 수정","유지"))))</f>
        <v/>
      </c>
    </row>
    <row r="92">
      <c r="A92" s="27" t="n"/>
      <c r="B92" s="28" t="n"/>
      <c r="C92" s="28" t="n"/>
      <c r="D92" s="28" t="n"/>
      <c r="E92" s="28" t="n"/>
      <c r="F92" s="28" t="n"/>
      <c r="G92" s="29" t="n"/>
      <c r="H92" s="29" t="n"/>
      <c r="I92" s="28" t="n"/>
      <c r="J92" s="28" t="n"/>
      <c r="K92" s="30" t="n"/>
      <c r="L92" s="28" t="n"/>
      <c r="M92" s="27" t="n"/>
      <c r="N92" s="2">
        <f>IF(D92="","",IF(AND(J92&lt;&gt;"",J92&gt;=100,K92&lt;&gt;"",K92&lt;0.02),"제목·메타설명 수정",IF(AND(I92&lt;&gt;"",I92&gt;=8,I92&lt;=20),"본문 보강(표·FAQ·경험)",IF(AND(G92&lt;&gt;"",COUNT($G$2:$G$300)&gt;=5,G92&lt;=PERCENTILE($G$2:$G$300,0.3)),"하위30%: 제목·첫문단 수정","유지"))))</f>
        <v/>
      </c>
    </row>
    <row r="93">
      <c r="A93" s="27" t="n"/>
      <c r="B93" s="28" t="n"/>
      <c r="C93" s="28" t="n"/>
      <c r="D93" s="28" t="n"/>
      <c r="E93" s="28" t="n"/>
      <c r="F93" s="28" t="n"/>
      <c r="G93" s="29" t="n"/>
      <c r="H93" s="29" t="n"/>
      <c r="I93" s="28" t="n"/>
      <c r="J93" s="28" t="n"/>
      <c r="K93" s="30" t="n"/>
      <c r="L93" s="28" t="n"/>
      <c r="M93" s="27" t="n"/>
      <c r="N93" s="2">
        <f>IF(D93="","",IF(AND(J93&lt;&gt;"",J93&gt;=100,K93&lt;&gt;"",K93&lt;0.02),"제목·메타설명 수정",IF(AND(I93&lt;&gt;"",I93&gt;=8,I93&lt;=20),"본문 보강(표·FAQ·경험)",IF(AND(G93&lt;&gt;"",COUNT($G$2:$G$300)&gt;=5,G93&lt;=PERCENTILE($G$2:$G$300,0.3)),"하위30%: 제목·첫문단 수정","유지"))))</f>
        <v/>
      </c>
    </row>
    <row r="94">
      <c r="A94" s="27" t="n"/>
      <c r="B94" s="28" t="n"/>
      <c r="C94" s="28" t="n"/>
      <c r="D94" s="28" t="n"/>
      <c r="E94" s="28" t="n"/>
      <c r="F94" s="28" t="n"/>
      <c r="G94" s="29" t="n"/>
      <c r="H94" s="29" t="n"/>
      <c r="I94" s="28" t="n"/>
      <c r="J94" s="28" t="n"/>
      <c r="K94" s="30" t="n"/>
      <c r="L94" s="28" t="n"/>
      <c r="M94" s="27" t="n"/>
      <c r="N94" s="2">
        <f>IF(D94="","",IF(AND(J94&lt;&gt;"",J94&gt;=100,K94&lt;&gt;"",K94&lt;0.02),"제목·메타설명 수정",IF(AND(I94&lt;&gt;"",I94&gt;=8,I94&lt;=20),"본문 보강(표·FAQ·경험)",IF(AND(G94&lt;&gt;"",COUNT($G$2:$G$300)&gt;=5,G94&lt;=PERCENTILE($G$2:$G$300,0.3)),"하위30%: 제목·첫문단 수정","유지"))))</f>
        <v/>
      </c>
    </row>
    <row r="95">
      <c r="A95" s="27" t="n"/>
      <c r="B95" s="28" t="n"/>
      <c r="C95" s="28" t="n"/>
      <c r="D95" s="28" t="n"/>
      <c r="E95" s="28" t="n"/>
      <c r="F95" s="28" t="n"/>
      <c r="G95" s="29" t="n"/>
      <c r="H95" s="29" t="n"/>
      <c r="I95" s="28" t="n"/>
      <c r="J95" s="28" t="n"/>
      <c r="K95" s="30" t="n"/>
      <c r="L95" s="28" t="n"/>
      <c r="M95" s="27" t="n"/>
      <c r="N95" s="2">
        <f>IF(D95="","",IF(AND(J95&lt;&gt;"",J95&gt;=100,K95&lt;&gt;"",K95&lt;0.02),"제목·메타설명 수정",IF(AND(I95&lt;&gt;"",I95&gt;=8,I95&lt;=20),"본문 보강(표·FAQ·경험)",IF(AND(G95&lt;&gt;"",COUNT($G$2:$G$300)&gt;=5,G95&lt;=PERCENTILE($G$2:$G$300,0.3)),"하위30%: 제목·첫문단 수정","유지"))))</f>
        <v/>
      </c>
    </row>
    <row r="96">
      <c r="A96" s="27" t="n"/>
      <c r="B96" s="28" t="n"/>
      <c r="C96" s="28" t="n"/>
      <c r="D96" s="28" t="n"/>
      <c r="E96" s="28" t="n"/>
      <c r="F96" s="28" t="n"/>
      <c r="G96" s="29" t="n"/>
      <c r="H96" s="29" t="n"/>
      <c r="I96" s="28" t="n"/>
      <c r="J96" s="28" t="n"/>
      <c r="K96" s="30" t="n"/>
      <c r="L96" s="28" t="n"/>
      <c r="M96" s="27" t="n"/>
      <c r="N96" s="2">
        <f>IF(D96="","",IF(AND(J96&lt;&gt;"",J96&gt;=100,K96&lt;&gt;"",K96&lt;0.02),"제목·메타설명 수정",IF(AND(I96&lt;&gt;"",I96&gt;=8,I96&lt;=20),"본문 보강(표·FAQ·경험)",IF(AND(G96&lt;&gt;"",COUNT($G$2:$G$300)&gt;=5,G96&lt;=PERCENTILE($G$2:$G$300,0.3)),"하위30%: 제목·첫문단 수정","유지"))))</f>
        <v/>
      </c>
    </row>
    <row r="97">
      <c r="A97" s="27" t="n"/>
      <c r="B97" s="28" t="n"/>
      <c r="C97" s="28" t="n"/>
      <c r="D97" s="28" t="n"/>
      <c r="E97" s="28" t="n"/>
      <c r="F97" s="28" t="n"/>
      <c r="G97" s="29" t="n"/>
      <c r="H97" s="29" t="n"/>
      <c r="I97" s="28" t="n"/>
      <c r="J97" s="28" t="n"/>
      <c r="K97" s="30" t="n"/>
      <c r="L97" s="28" t="n"/>
      <c r="M97" s="27" t="n"/>
      <c r="N97" s="2">
        <f>IF(D97="","",IF(AND(J97&lt;&gt;"",J97&gt;=100,K97&lt;&gt;"",K97&lt;0.02),"제목·메타설명 수정",IF(AND(I97&lt;&gt;"",I97&gt;=8,I97&lt;=20),"본문 보강(표·FAQ·경험)",IF(AND(G97&lt;&gt;"",COUNT($G$2:$G$300)&gt;=5,G97&lt;=PERCENTILE($G$2:$G$300,0.3)),"하위30%: 제목·첫문단 수정","유지"))))</f>
        <v/>
      </c>
    </row>
    <row r="98">
      <c r="A98" s="27" t="n"/>
      <c r="B98" s="28" t="n"/>
      <c r="C98" s="28" t="n"/>
      <c r="D98" s="28" t="n"/>
      <c r="E98" s="28" t="n"/>
      <c r="F98" s="28" t="n"/>
      <c r="G98" s="29" t="n"/>
      <c r="H98" s="29" t="n"/>
      <c r="I98" s="28" t="n"/>
      <c r="J98" s="28" t="n"/>
      <c r="K98" s="30" t="n"/>
      <c r="L98" s="28" t="n"/>
      <c r="M98" s="27" t="n"/>
      <c r="N98" s="2">
        <f>IF(D98="","",IF(AND(J98&lt;&gt;"",J98&gt;=100,K98&lt;&gt;"",K98&lt;0.02),"제목·메타설명 수정",IF(AND(I98&lt;&gt;"",I98&gt;=8,I98&lt;=20),"본문 보강(표·FAQ·경험)",IF(AND(G98&lt;&gt;"",COUNT($G$2:$G$300)&gt;=5,G98&lt;=PERCENTILE($G$2:$G$300,0.3)),"하위30%: 제목·첫문단 수정","유지"))))</f>
        <v/>
      </c>
    </row>
    <row r="99">
      <c r="A99" s="27" t="n"/>
      <c r="B99" s="28" t="n"/>
      <c r="C99" s="28" t="n"/>
      <c r="D99" s="28" t="n"/>
      <c r="E99" s="28" t="n"/>
      <c r="F99" s="28" t="n"/>
      <c r="G99" s="29" t="n"/>
      <c r="H99" s="29" t="n"/>
      <c r="I99" s="28" t="n"/>
      <c r="J99" s="28" t="n"/>
      <c r="K99" s="30" t="n"/>
      <c r="L99" s="28" t="n"/>
      <c r="M99" s="27" t="n"/>
      <c r="N99" s="2">
        <f>IF(D99="","",IF(AND(J99&lt;&gt;"",J99&gt;=100,K99&lt;&gt;"",K99&lt;0.02),"제목·메타설명 수정",IF(AND(I99&lt;&gt;"",I99&gt;=8,I99&lt;=20),"본문 보강(표·FAQ·경험)",IF(AND(G99&lt;&gt;"",COUNT($G$2:$G$300)&gt;=5,G99&lt;=PERCENTILE($G$2:$G$300,0.3)),"하위30%: 제목·첫문단 수정","유지"))))</f>
        <v/>
      </c>
    </row>
    <row r="100">
      <c r="A100" s="27" t="n"/>
      <c r="B100" s="28" t="n"/>
      <c r="C100" s="28" t="n"/>
      <c r="D100" s="28" t="n"/>
      <c r="E100" s="28" t="n"/>
      <c r="F100" s="28" t="n"/>
      <c r="G100" s="29" t="n"/>
      <c r="H100" s="29" t="n"/>
      <c r="I100" s="28" t="n"/>
      <c r="J100" s="28" t="n"/>
      <c r="K100" s="30" t="n"/>
      <c r="L100" s="28" t="n"/>
      <c r="M100" s="27" t="n"/>
      <c r="N100" s="2">
        <f>IF(D100="","",IF(AND(J100&lt;&gt;"",J100&gt;=100,K100&lt;&gt;"",K100&lt;0.02),"제목·메타설명 수정",IF(AND(I100&lt;&gt;"",I100&gt;=8,I100&lt;=20),"본문 보강(표·FAQ·경험)",IF(AND(G100&lt;&gt;"",COUNT($G$2:$G$300)&gt;=5,G100&lt;=PERCENTILE($G$2:$G$300,0.3)),"하위30%: 제목·첫문단 수정","유지"))))</f>
        <v/>
      </c>
    </row>
    <row r="101">
      <c r="A101" s="27" t="n"/>
      <c r="B101" s="28" t="n"/>
      <c r="C101" s="28" t="n"/>
      <c r="D101" s="28" t="n"/>
      <c r="E101" s="28" t="n"/>
      <c r="F101" s="28" t="n"/>
      <c r="G101" s="29" t="n"/>
      <c r="H101" s="29" t="n"/>
      <c r="I101" s="28" t="n"/>
      <c r="J101" s="28" t="n"/>
      <c r="K101" s="30" t="n"/>
      <c r="L101" s="28" t="n"/>
      <c r="M101" s="27" t="n"/>
      <c r="N101" s="2">
        <f>IF(D101="","",IF(AND(J101&lt;&gt;"",J101&gt;=100,K101&lt;&gt;"",K101&lt;0.02),"제목·메타설명 수정",IF(AND(I101&lt;&gt;"",I101&gt;=8,I101&lt;=20),"본문 보강(표·FAQ·경험)",IF(AND(G101&lt;&gt;"",COUNT($G$2:$G$300)&gt;=5,G101&lt;=PERCENTILE($G$2:$G$300,0.3)),"하위30%: 제목·첫문단 수정","유지"))))</f>
        <v/>
      </c>
    </row>
    <row r="102">
      <c r="A102" s="27" t="n"/>
      <c r="B102" s="28" t="n"/>
      <c r="C102" s="28" t="n"/>
      <c r="D102" s="28" t="n"/>
      <c r="E102" s="28" t="n"/>
      <c r="F102" s="28" t="n"/>
      <c r="G102" s="29" t="n"/>
      <c r="H102" s="29" t="n"/>
      <c r="I102" s="28" t="n"/>
      <c r="J102" s="28" t="n"/>
      <c r="K102" s="30" t="n"/>
      <c r="L102" s="28" t="n"/>
      <c r="M102" s="27" t="n"/>
      <c r="N102" s="2">
        <f>IF(D102="","",IF(AND(J102&lt;&gt;"",J102&gt;=100,K102&lt;&gt;"",K102&lt;0.02),"제목·메타설명 수정",IF(AND(I102&lt;&gt;"",I102&gt;=8,I102&lt;=20),"본문 보강(표·FAQ·경험)",IF(AND(G102&lt;&gt;"",COUNT($G$2:$G$300)&gt;=5,G102&lt;=PERCENTILE($G$2:$G$300,0.3)),"하위30%: 제목·첫문단 수정","유지"))))</f>
        <v/>
      </c>
    </row>
    <row r="103">
      <c r="A103" s="27" t="n"/>
      <c r="B103" s="28" t="n"/>
      <c r="C103" s="28" t="n"/>
      <c r="D103" s="28" t="n"/>
      <c r="E103" s="28" t="n"/>
      <c r="F103" s="28" t="n"/>
      <c r="G103" s="29" t="n"/>
      <c r="H103" s="29" t="n"/>
      <c r="I103" s="28" t="n"/>
      <c r="J103" s="28" t="n"/>
      <c r="K103" s="30" t="n"/>
      <c r="L103" s="28" t="n"/>
      <c r="M103" s="27" t="n"/>
      <c r="N103" s="2">
        <f>IF(D103="","",IF(AND(J103&lt;&gt;"",J103&gt;=100,K103&lt;&gt;"",K103&lt;0.02),"제목·메타설명 수정",IF(AND(I103&lt;&gt;"",I103&gt;=8,I103&lt;=20),"본문 보강(표·FAQ·경험)",IF(AND(G103&lt;&gt;"",COUNT($G$2:$G$300)&gt;=5,G103&lt;=PERCENTILE($G$2:$G$300,0.3)),"하위30%: 제목·첫문단 수정","유지"))))</f>
        <v/>
      </c>
    </row>
    <row r="104">
      <c r="A104" s="27" t="n"/>
      <c r="B104" s="28" t="n"/>
      <c r="C104" s="28" t="n"/>
      <c r="D104" s="28" t="n"/>
      <c r="E104" s="28" t="n"/>
      <c r="F104" s="28" t="n"/>
      <c r="G104" s="29" t="n"/>
      <c r="H104" s="29" t="n"/>
      <c r="I104" s="28" t="n"/>
      <c r="J104" s="28" t="n"/>
      <c r="K104" s="30" t="n"/>
      <c r="L104" s="28" t="n"/>
      <c r="M104" s="27" t="n"/>
      <c r="N104" s="2">
        <f>IF(D104="","",IF(AND(J104&lt;&gt;"",J104&gt;=100,K104&lt;&gt;"",K104&lt;0.02),"제목·메타설명 수정",IF(AND(I104&lt;&gt;"",I104&gt;=8,I104&lt;=20),"본문 보강(표·FAQ·경험)",IF(AND(G104&lt;&gt;"",COUNT($G$2:$G$300)&gt;=5,G104&lt;=PERCENTILE($G$2:$G$300,0.3)),"하위30%: 제목·첫문단 수정","유지"))))</f>
        <v/>
      </c>
    </row>
    <row r="105">
      <c r="A105" s="27" t="n"/>
      <c r="B105" s="28" t="n"/>
      <c r="C105" s="28" t="n"/>
      <c r="D105" s="28" t="n"/>
      <c r="E105" s="28" t="n"/>
      <c r="F105" s="28" t="n"/>
      <c r="G105" s="29" t="n"/>
      <c r="H105" s="29" t="n"/>
      <c r="I105" s="28" t="n"/>
      <c r="J105" s="28" t="n"/>
      <c r="K105" s="30" t="n"/>
      <c r="L105" s="28" t="n"/>
      <c r="M105" s="27" t="n"/>
      <c r="N105" s="2">
        <f>IF(D105="","",IF(AND(J105&lt;&gt;"",J105&gt;=100,K105&lt;&gt;"",K105&lt;0.02),"제목·메타설명 수정",IF(AND(I105&lt;&gt;"",I105&gt;=8,I105&lt;=20),"본문 보강(표·FAQ·경험)",IF(AND(G105&lt;&gt;"",COUNT($G$2:$G$300)&gt;=5,G105&lt;=PERCENTILE($G$2:$G$300,0.3)),"하위30%: 제목·첫문단 수정","유지"))))</f>
        <v/>
      </c>
    </row>
    <row r="106">
      <c r="A106" s="27" t="n"/>
      <c r="B106" s="28" t="n"/>
      <c r="C106" s="28" t="n"/>
      <c r="D106" s="28" t="n"/>
      <c r="E106" s="28" t="n"/>
      <c r="F106" s="28" t="n"/>
      <c r="G106" s="29" t="n"/>
      <c r="H106" s="29" t="n"/>
      <c r="I106" s="28" t="n"/>
      <c r="J106" s="28" t="n"/>
      <c r="K106" s="30" t="n"/>
      <c r="L106" s="28" t="n"/>
      <c r="M106" s="27" t="n"/>
      <c r="N106" s="2">
        <f>IF(D106="","",IF(AND(J106&lt;&gt;"",J106&gt;=100,K106&lt;&gt;"",K106&lt;0.02),"제목·메타설명 수정",IF(AND(I106&lt;&gt;"",I106&gt;=8,I106&lt;=20),"본문 보강(표·FAQ·경험)",IF(AND(G106&lt;&gt;"",COUNT($G$2:$G$300)&gt;=5,G106&lt;=PERCENTILE($G$2:$G$300,0.3)),"하위30%: 제목·첫문단 수정","유지"))))</f>
        <v/>
      </c>
    </row>
    <row r="107">
      <c r="A107" s="27" t="n"/>
      <c r="B107" s="28" t="n"/>
      <c r="C107" s="28" t="n"/>
      <c r="D107" s="28" t="n"/>
      <c r="E107" s="28" t="n"/>
      <c r="F107" s="28" t="n"/>
      <c r="G107" s="29" t="n"/>
      <c r="H107" s="29" t="n"/>
      <c r="I107" s="28" t="n"/>
      <c r="J107" s="28" t="n"/>
      <c r="K107" s="30" t="n"/>
      <c r="L107" s="28" t="n"/>
      <c r="M107" s="27" t="n"/>
      <c r="N107" s="2">
        <f>IF(D107="","",IF(AND(J107&lt;&gt;"",J107&gt;=100,K107&lt;&gt;"",K107&lt;0.02),"제목·메타설명 수정",IF(AND(I107&lt;&gt;"",I107&gt;=8,I107&lt;=20),"본문 보강(표·FAQ·경험)",IF(AND(G107&lt;&gt;"",COUNT($G$2:$G$300)&gt;=5,G107&lt;=PERCENTILE($G$2:$G$300,0.3)),"하위30%: 제목·첫문단 수정","유지"))))</f>
        <v/>
      </c>
    </row>
    <row r="108">
      <c r="A108" s="27" t="n"/>
      <c r="B108" s="28" t="n"/>
      <c r="C108" s="28" t="n"/>
      <c r="D108" s="28" t="n"/>
      <c r="E108" s="28" t="n"/>
      <c r="F108" s="28" t="n"/>
      <c r="G108" s="29" t="n"/>
      <c r="H108" s="29" t="n"/>
      <c r="I108" s="28" t="n"/>
      <c r="J108" s="28" t="n"/>
      <c r="K108" s="30" t="n"/>
      <c r="L108" s="28" t="n"/>
      <c r="M108" s="27" t="n"/>
      <c r="N108" s="2">
        <f>IF(D108="","",IF(AND(J108&lt;&gt;"",J108&gt;=100,K108&lt;&gt;"",K108&lt;0.02),"제목·메타설명 수정",IF(AND(I108&lt;&gt;"",I108&gt;=8,I108&lt;=20),"본문 보강(표·FAQ·경험)",IF(AND(G108&lt;&gt;"",COUNT($G$2:$G$300)&gt;=5,G108&lt;=PERCENTILE($G$2:$G$300,0.3)),"하위30%: 제목·첫문단 수정","유지"))))</f>
        <v/>
      </c>
    </row>
    <row r="109">
      <c r="A109" s="27" t="n"/>
      <c r="B109" s="28" t="n"/>
      <c r="C109" s="28" t="n"/>
      <c r="D109" s="28" t="n"/>
      <c r="E109" s="28" t="n"/>
      <c r="F109" s="28" t="n"/>
      <c r="G109" s="29" t="n"/>
      <c r="H109" s="29" t="n"/>
      <c r="I109" s="28" t="n"/>
      <c r="J109" s="28" t="n"/>
      <c r="K109" s="30" t="n"/>
      <c r="L109" s="28" t="n"/>
      <c r="M109" s="27" t="n"/>
      <c r="N109" s="2">
        <f>IF(D109="","",IF(AND(J109&lt;&gt;"",J109&gt;=100,K109&lt;&gt;"",K109&lt;0.02),"제목·메타설명 수정",IF(AND(I109&lt;&gt;"",I109&gt;=8,I109&lt;=20),"본문 보강(표·FAQ·경험)",IF(AND(G109&lt;&gt;"",COUNT($G$2:$G$300)&gt;=5,G109&lt;=PERCENTILE($G$2:$G$300,0.3)),"하위30%: 제목·첫문단 수정","유지"))))</f>
        <v/>
      </c>
    </row>
    <row r="110">
      <c r="A110" s="27" t="n"/>
      <c r="B110" s="28" t="n"/>
      <c r="C110" s="28" t="n"/>
      <c r="D110" s="28" t="n"/>
      <c r="E110" s="28" t="n"/>
      <c r="F110" s="28" t="n"/>
      <c r="G110" s="29" t="n"/>
      <c r="H110" s="29" t="n"/>
      <c r="I110" s="28" t="n"/>
      <c r="J110" s="28" t="n"/>
      <c r="K110" s="30" t="n"/>
      <c r="L110" s="28" t="n"/>
      <c r="M110" s="27" t="n"/>
      <c r="N110" s="2">
        <f>IF(D110="","",IF(AND(J110&lt;&gt;"",J110&gt;=100,K110&lt;&gt;"",K110&lt;0.02),"제목·메타설명 수정",IF(AND(I110&lt;&gt;"",I110&gt;=8,I110&lt;=20),"본문 보강(표·FAQ·경험)",IF(AND(G110&lt;&gt;"",COUNT($G$2:$G$300)&gt;=5,G110&lt;=PERCENTILE($G$2:$G$300,0.3)),"하위30%: 제목·첫문단 수정","유지"))))</f>
        <v/>
      </c>
    </row>
    <row r="111">
      <c r="A111" s="27" t="n"/>
      <c r="B111" s="28" t="n"/>
      <c r="C111" s="28" t="n"/>
      <c r="D111" s="28" t="n"/>
      <c r="E111" s="28" t="n"/>
      <c r="F111" s="28" t="n"/>
      <c r="G111" s="29" t="n"/>
      <c r="H111" s="29" t="n"/>
      <c r="I111" s="28" t="n"/>
      <c r="J111" s="28" t="n"/>
      <c r="K111" s="30" t="n"/>
      <c r="L111" s="28" t="n"/>
      <c r="M111" s="27" t="n"/>
      <c r="N111" s="2">
        <f>IF(D111="","",IF(AND(J111&lt;&gt;"",J111&gt;=100,K111&lt;&gt;"",K111&lt;0.02),"제목·메타설명 수정",IF(AND(I111&lt;&gt;"",I111&gt;=8,I111&lt;=20),"본문 보강(표·FAQ·경험)",IF(AND(G111&lt;&gt;"",COUNT($G$2:$G$300)&gt;=5,G111&lt;=PERCENTILE($G$2:$G$300,0.3)),"하위30%: 제목·첫문단 수정","유지"))))</f>
        <v/>
      </c>
    </row>
    <row r="112">
      <c r="A112" s="27" t="n"/>
      <c r="B112" s="28" t="n"/>
      <c r="C112" s="28" t="n"/>
      <c r="D112" s="28" t="n"/>
      <c r="E112" s="28" t="n"/>
      <c r="F112" s="28" t="n"/>
      <c r="G112" s="29" t="n"/>
      <c r="H112" s="29" t="n"/>
      <c r="I112" s="28" t="n"/>
      <c r="J112" s="28" t="n"/>
      <c r="K112" s="30" t="n"/>
      <c r="L112" s="28" t="n"/>
      <c r="M112" s="27" t="n"/>
      <c r="N112" s="2">
        <f>IF(D112="","",IF(AND(J112&lt;&gt;"",J112&gt;=100,K112&lt;&gt;"",K112&lt;0.02),"제목·메타설명 수정",IF(AND(I112&lt;&gt;"",I112&gt;=8,I112&lt;=20),"본문 보강(표·FAQ·경험)",IF(AND(G112&lt;&gt;"",COUNT($G$2:$G$300)&gt;=5,G112&lt;=PERCENTILE($G$2:$G$300,0.3)),"하위30%: 제목·첫문단 수정","유지"))))</f>
        <v/>
      </c>
    </row>
    <row r="113">
      <c r="A113" s="27" t="n"/>
      <c r="B113" s="28" t="n"/>
      <c r="C113" s="28" t="n"/>
      <c r="D113" s="28" t="n"/>
      <c r="E113" s="28" t="n"/>
      <c r="F113" s="28" t="n"/>
      <c r="G113" s="29" t="n"/>
      <c r="H113" s="29" t="n"/>
      <c r="I113" s="28" t="n"/>
      <c r="J113" s="28" t="n"/>
      <c r="K113" s="30" t="n"/>
      <c r="L113" s="28" t="n"/>
      <c r="M113" s="27" t="n"/>
      <c r="N113" s="2">
        <f>IF(D113="","",IF(AND(J113&lt;&gt;"",J113&gt;=100,K113&lt;&gt;"",K113&lt;0.02),"제목·메타설명 수정",IF(AND(I113&lt;&gt;"",I113&gt;=8,I113&lt;=20),"본문 보강(표·FAQ·경험)",IF(AND(G113&lt;&gt;"",COUNT($G$2:$G$300)&gt;=5,G113&lt;=PERCENTILE($G$2:$G$300,0.3)),"하위30%: 제목·첫문단 수정","유지"))))</f>
        <v/>
      </c>
    </row>
    <row r="114">
      <c r="A114" s="27" t="n"/>
      <c r="B114" s="28" t="n"/>
      <c r="C114" s="28" t="n"/>
      <c r="D114" s="28" t="n"/>
      <c r="E114" s="28" t="n"/>
      <c r="F114" s="28" t="n"/>
      <c r="G114" s="29" t="n"/>
      <c r="H114" s="29" t="n"/>
      <c r="I114" s="28" t="n"/>
      <c r="J114" s="28" t="n"/>
      <c r="K114" s="30" t="n"/>
      <c r="L114" s="28" t="n"/>
      <c r="M114" s="27" t="n"/>
      <c r="N114" s="2">
        <f>IF(D114="","",IF(AND(J114&lt;&gt;"",J114&gt;=100,K114&lt;&gt;"",K114&lt;0.02),"제목·메타설명 수정",IF(AND(I114&lt;&gt;"",I114&gt;=8,I114&lt;=20),"본문 보강(표·FAQ·경험)",IF(AND(G114&lt;&gt;"",COUNT($G$2:$G$300)&gt;=5,G114&lt;=PERCENTILE($G$2:$G$300,0.3)),"하위30%: 제목·첫문단 수정","유지"))))</f>
        <v/>
      </c>
    </row>
    <row r="115">
      <c r="A115" s="27" t="n"/>
      <c r="B115" s="28" t="n"/>
      <c r="C115" s="28" t="n"/>
      <c r="D115" s="28" t="n"/>
      <c r="E115" s="28" t="n"/>
      <c r="F115" s="28" t="n"/>
      <c r="G115" s="29" t="n"/>
      <c r="H115" s="29" t="n"/>
      <c r="I115" s="28" t="n"/>
      <c r="J115" s="28" t="n"/>
      <c r="K115" s="30" t="n"/>
      <c r="L115" s="28" t="n"/>
      <c r="M115" s="27" t="n"/>
      <c r="N115" s="2">
        <f>IF(D115="","",IF(AND(J115&lt;&gt;"",J115&gt;=100,K115&lt;&gt;"",K115&lt;0.02),"제목·메타설명 수정",IF(AND(I115&lt;&gt;"",I115&gt;=8,I115&lt;=20),"본문 보강(표·FAQ·경험)",IF(AND(G115&lt;&gt;"",COUNT($G$2:$G$300)&gt;=5,G115&lt;=PERCENTILE($G$2:$G$300,0.3)),"하위30%: 제목·첫문단 수정","유지"))))</f>
        <v/>
      </c>
    </row>
    <row r="116">
      <c r="A116" s="27" t="n"/>
      <c r="B116" s="28" t="n"/>
      <c r="C116" s="28" t="n"/>
      <c r="D116" s="28" t="n"/>
      <c r="E116" s="28" t="n"/>
      <c r="F116" s="28" t="n"/>
      <c r="G116" s="29" t="n"/>
      <c r="H116" s="29" t="n"/>
      <c r="I116" s="28" t="n"/>
      <c r="J116" s="28" t="n"/>
      <c r="K116" s="30" t="n"/>
      <c r="L116" s="28" t="n"/>
      <c r="M116" s="27" t="n"/>
      <c r="N116" s="2">
        <f>IF(D116="","",IF(AND(J116&lt;&gt;"",J116&gt;=100,K116&lt;&gt;"",K116&lt;0.02),"제목·메타설명 수정",IF(AND(I116&lt;&gt;"",I116&gt;=8,I116&lt;=20),"본문 보강(표·FAQ·경험)",IF(AND(G116&lt;&gt;"",COUNT($G$2:$G$300)&gt;=5,G116&lt;=PERCENTILE($G$2:$G$300,0.3)),"하위30%: 제목·첫문단 수정","유지"))))</f>
        <v/>
      </c>
    </row>
    <row r="117">
      <c r="A117" s="27" t="n"/>
      <c r="B117" s="28" t="n"/>
      <c r="C117" s="28" t="n"/>
      <c r="D117" s="28" t="n"/>
      <c r="E117" s="28" t="n"/>
      <c r="F117" s="28" t="n"/>
      <c r="G117" s="29" t="n"/>
      <c r="H117" s="29" t="n"/>
      <c r="I117" s="28" t="n"/>
      <c r="J117" s="28" t="n"/>
      <c r="K117" s="30" t="n"/>
      <c r="L117" s="28" t="n"/>
      <c r="M117" s="27" t="n"/>
      <c r="N117" s="2">
        <f>IF(D117="","",IF(AND(J117&lt;&gt;"",J117&gt;=100,K117&lt;&gt;"",K117&lt;0.02),"제목·메타설명 수정",IF(AND(I117&lt;&gt;"",I117&gt;=8,I117&lt;=20),"본문 보강(표·FAQ·경험)",IF(AND(G117&lt;&gt;"",COUNT($G$2:$G$300)&gt;=5,G117&lt;=PERCENTILE($G$2:$G$300,0.3)),"하위30%: 제목·첫문단 수정","유지"))))</f>
        <v/>
      </c>
    </row>
    <row r="118">
      <c r="A118" s="27" t="n"/>
      <c r="B118" s="28" t="n"/>
      <c r="C118" s="28" t="n"/>
      <c r="D118" s="28" t="n"/>
      <c r="E118" s="28" t="n"/>
      <c r="F118" s="28" t="n"/>
      <c r="G118" s="29" t="n"/>
      <c r="H118" s="29" t="n"/>
      <c r="I118" s="28" t="n"/>
      <c r="J118" s="28" t="n"/>
      <c r="K118" s="30" t="n"/>
      <c r="L118" s="28" t="n"/>
      <c r="M118" s="27" t="n"/>
      <c r="N118" s="2">
        <f>IF(D118="","",IF(AND(J118&lt;&gt;"",J118&gt;=100,K118&lt;&gt;"",K118&lt;0.02),"제목·메타설명 수정",IF(AND(I118&lt;&gt;"",I118&gt;=8,I118&lt;=20),"본문 보강(표·FAQ·경험)",IF(AND(G118&lt;&gt;"",COUNT($G$2:$G$300)&gt;=5,G118&lt;=PERCENTILE($G$2:$G$300,0.3)),"하위30%: 제목·첫문단 수정","유지"))))</f>
        <v/>
      </c>
    </row>
    <row r="119">
      <c r="A119" s="27" t="n"/>
      <c r="B119" s="28" t="n"/>
      <c r="C119" s="28" t="n"/>
      <c r="D119" s="28" t="n"/>
      <c r="E119" s="28" t="n"/>
      <c r="F119" s="28" t="n"/>
      <c r="G119" s="29" t="n"/>
      <c r="H119" s="29" t="n"/>
      <c r="I119" s="28" t="n"/>
      <c r="J119" s="28" t="n"/>
      <c r="K119" s="30" t="n"/>
      <c r="L119" s="28" t="n"/>
      <c r="M119" s="27" t="n"/>
      <c r="N119" s="2">
        <f>IF(D119="","",IF(AND(J119&lt;&gt;"",J119&gt;=100,K119&lt;&gt;"",K119&lt;0.02),"제목·메타설명 수정",IF(AND(I119&lt;&gt;"",I119&gt;=8,I119&lt;=20),"본문 보강(표·FAQ·경험)",IF(AND(G119&lt;&gt;"",COUNT($G$2:$G$300)&gt;=5,G119&lt;=PERCENTILE($G$2:$G$300,0.3)),"하위30%: 제목·첫문단 수정","유지"))))</f>
        <v/>
      </c>
    </row>
    <row r="120">
      <c r="A120" s="27" t="n"/>
      <c r="B120" s="28" t="n"/>
      <c r="C120" s="28" t="n"/>
      <c r="D120" s="28" t="n"/>
      <c r="E120" s="28" t="n"/>
      <c r="F120" s="28" t="n"/>
      <c r="G120" s="29" t="n"/>
      <c r="H120" s="29" t="n"/>
      <c r="I120" s="28" t="n"/>
      <c r="J120" s="28" t="n"/>
      <c r="K120" s="30" t="n"/>
      <c r="L120" s="28" t="n"/>
      <c r="M120" s="27" t="n"/>
      <c r="N120" s="2">
        <f>IF(D120="","",IF(AND(J120&lt;&gt;"",J120&gt;=100,K120&lt;&gt;"",K120&lt;0.02),"제목·메타설명 수정",IF(AND(I120&lt;&gt;"",I120&gt;=8,I120&lt;=20),"본문 보강(표·FAQ·경험)",IF(AND(G120&lt;&gt;"",COUNT($G$2:$G$300)&gt;=5,G120&lt;=PERCENTILE($G$2:$G$300,0.3)),"하위30%: 제목·첫문단 수정","유지"))))</f>
        <v/>
      </c>
    </row>
    <row r="121">
      <c r="A121" s="27" t="n"/>
      <c r="B121" s="28" t="n"/>
      <c r="C121" s="28" t="n"/>
      <c r="D121" s="28" t="n"/>
      <c r="E121" s="28" t="n"/>
      <c r="F121" s="28" t="n"/>
      <c r="G121" s="29" t="n"/>
      <c r="H121" s="29" t="n"/>
      <c r="I121" s="28" t="n"/>
      <c r="J121" s="28" t="n"/>
      <c r="K121" s="30" t="n"/>
      <c r="L121" s="28" t="n"/>
      <c r="M121" s="27" t="n"/>
      <c r="N121" s="2">
        <f>IF(D121="","",IF(AND(J121&lt;&gt;"",J121&gt;=100,K121&lt;&gt;"",K121&lt;0.02),"제목·메타설명 수정",IF(AND(I121&lt;&gt;"",I121&gt;=8,I121&lt;=20),"본문 보강(표·FAQ·경험)",IF(AND(G121&lt;&gt;"",COUNT($G$2:$G$300)&gt;=5,G121&lt;=PERCENTILE($G$2:$G$300,0.3)),"하위30%: 제목·첫문단 수정","유지"))))</f>
        <v/>
      </c>
    </row>
    <row r="122">
      <c r="A122" s="27" t="n"/>
      <c r="B122" s="28" t="n"/>
      <c r="C122" s="28" t="n"/>
      <c r="D122" s="28" t="n"/>
      <c r="E122" s="28" t="n"/>
      <c r="F122" s="28" t="n"/>
      <c r="G122" s="29" t="n"/>
      <c r="H122" s="29" t="n"/>
      <c r="I122" s="28" t="n"/>
      <c r="J122" s="28" t="n"/>
      <c r="K122" s="30" t="n"/>
      <c r="L122" s="28" t="n"/>
      <c r="M122" s="27" t="n"/>
      <c r="N122" s="2">
        <f>IF(D122="","",IF(AND(J122&lt;&gt;"",J122&gt;=100,K122&lt;&gt;"",K122&lt;0.02),"제목·메타설명 수정",IF(AND(I122&lt;&gt;"",I122&gt;=8,I122&lt;=20),"본문 보강(표·FAQ·경험)",IF(AND(G122&lt;&gt;"",COUNT($G$2:$G$300)&gt;=5,G122&lt;=PERCENTILE($G$2:$G$300,0.3)),"하위30%: 제목·첫문단 수정","유지"))))</f>
        <v/>
      </c>
    </row>
    <row r="123">
      <c r="A123" s="27" t="n"/>
      <c r="B123" s="28" t="n"/>
      <c r="C123" s="28" t="n"/>
      <c r="D123" s="28" t="n"/>
      <c r="E123" s="28" t="n"/>
      <c r="F123" s="28" t="n"/>
      <c r="G123" s="29" t="n"/>
      <c r="H123" s="29" t="n"/>
      <c r="I123" s="28" t="n"/>
      <c r="J123" s="28" t="n"/>
      <c r="K123" s="30" t="n"/>
      <c r="L123" s="28" t="n"/>
      <c r="M123" s="27" t="n"/>
      <c r="N123" s="2">
        <f>IF(D123="","",IF(AND(J123&lt;&gt;"",J123&gt;=100,K123&lt;&gt;"",K123&lt;0.02),"제목·메타설명 수정",IF(AND(I123&lt;&gt;"",I123&gt;=8,I123&lt;=20),"본문 보강(표·FAQ·경험)",IF(AND(G123&lt;&gt;"",COUNT($G$2:$G$300)&gt;=5,G123&lt;=PERCENTILE($G$2:$G$300,0.3)),"하위30%: 제목·첫문단 수정","유지"))))</f>
        <v/>
      </c>
    </row>
    <row r="124">
      <c r="A124" s="27" t="n"/>
      <c r="B124" s="28" t="n"/>
      <c r="C124" s="28" t="n"/>
      <c r="D124" s="28" t="n"/>
      <c r="E124" s="28" t="n"/>
      <c r="F124" s="28" t="n"/>
      <c r="G124" s="29" t="n"/>
      <c r="H124" s="29" t="n"/>
      <c r="I124" s="28" t="n"/>
      <c r="J124" s="28" t="n"/>
      <c r="K124" s="30" t="n"/>
      <c r="L124" s="28" t="n"/>
      <c r="M124" s="27" t="n"/>
      <c r="N124" s="2">
        <f>IF(D124="","",IF(AND(J124&lt;&gt;"",J124&gt;=100,K124&lt;&gt;"",K124&lt;0.02),"제목·메타설명 수정",IF(AND(I124&lt;&gt;"",I124&gt;=8,I124&lt;=20),"본문 보강(표·FAQ·경험)",IF(AND(G124&lt;&gt;"",COUNT($G$2:$G$300)&gt;=5,G124&lt;=PERCENTILE($G$2:$G$300,0.3)),"하위30%: 제목·첫문단 수정","유지"))))</f>
        <v/>
      </c>
    </row>
    <row r="125">
      <c r="A125" s="27" t="n"/>
      <c r="B125" s="28" t="n"/>
      <c r="C125" s="28" t="n"/>
      <c r="D125" s="28" t="n"/>
      <c r="E125" s="28" t="n"/>
      <c r="F125" s="28" t="n"/>
      <c r="G125" s="29" t="n"/>
      <c r="H125" s="29" t="n"/>
      <c r="I125" s="28" t="n"/>
      <c r="J125" s="28" t="n"/>
      <c r="K125" s="30" t="n"/>
      <c r="L125" s="28" t="n"/>
      <c r="M125" s="27" t="n"/>
      <c r="N125" s="2">
        <f>IF(D125="","",IF(AND(J125&lt;&gt;"",J125&gt;=100,K125&lt;&gt;"",K125&lt;0.02),"제목·메타설명 수정",IF(AND(I125&lt;&gt;"",I125&gt;=8,I125&lt;=20),"본문 보강(표·FAQ·경험)",IF(AND(G125&lt;&gt;"",COUNT($G$2:$G$300)&gt;=5,G125&lt;=PERCENTILE($G$2:$G$300,0.3)),"하위30%: 제목·첫문단 수정","유지"))))</f>
        <v/>
      </c>
    </row>
    <row r="126">
      <c r="A126" s="27" t="n"/>
      <c r="B126" s="28" t="n"/>
      <c r="C126" s="28" t="n"/>
      <c r="D126" s="28" t="n"/>
      <c r="E126" s="28" t="n"/>
      <c r="F126" s="28" t="n"/>
      <c r="G126" s="29" t="n"/>
      <c r="H126" s="29" t="n"/>
      <c r="I126" s="28" t="n"/>
      <c r="J126" s="28" t="n"/>
      <c r="K126" s="30" t="n"/>
      <c r="L126" s="28" t="n"/>
      <c r="M126" s="27" t="n"/>
      <c r="N126" s="2">
        <f>IF(D126="","",IF(AND(J126&lt;&gt;"",J126&gt;=100,K126&lt;&gt;"",K126&lt;0.02),"제목·메타설명 수정",IF(AND(I126&lt;&gt;"",I126&gt;=8,I126&lt;=20),"본문 보강(표·FAQ·경험)",IF(AND(G126&lt;&gt;"",COUNT($G$2:$G$300)&gt;=5,G126&lt;=PERCENTILE($G$2:$G$300,0.3)),"하위30%: 제목·첫문단 수정","유지"))))</f>
        <v/>
      </c>
    </row>
    <row r="127">
      <c r="A127" s="27" t="n"/>
      <c r="B127" s="28" t="n"/>
      <c r="C127" s="28" t="n"/>
      <c r="D127" s="28" t="n"/>
      <c r="E127" s="28" t="n"/>
      <c r="F127" s="28" t="n"/>
      <c r="G127" s="29" t="n"/>
      <c r="H127" s="29" t="n"/>
      <c r="I127" s="28" t="n"/>
      <c r="J127" s="28" t="n"/>
      <c r="K127" s="30" t="n"/>
      <c r="L127" s="28" t="n"/>
      <c r="M127" s="27" t="n"/>
      <c r="N127" s="2">
        <f>IF(D127="","",IF(AND(J127&lt;&gt;"",J127&gt;=100,K127&lt;&gt;"",K127&lt;0.02),"제목·메타설명 수정",IF(AND(I127&lt;&gt;"",I127&gt;=8,I127&lt;=20),"본문 보강(표·FAQ·경험)",IF(AND(G127&lt;&gt;"",COUNT($G$2:$G$300)&gt;=5,G127&lt;=PERCENTILE($G$2:$G$300,0.3)),"하위30%: 제목·첫문단 수정","유지"))))</f>
        <v/>
      </c>
    </row>
    <row r="128">
      <c r="A128" s="27" t="n"/>
      <c r="B128" s="28" t="n"/>
      <c r="C128" s="28" t="n"/>
      <c r="D128" s="28" t="n"/>
      <c r="E128" s="28" t="n"/>
      <c r="F128" s="28" t="n"/>
      <c r="G128" s="29" t="n"/>
      <c r="H128" s="29" t="n"/>
      <c r="I128" s="28" t="n"/>
      <c r="J128" s="28" t="n"/>
      <c r="K128" s="30" t="n"/>
      <c r="L128" s="28" t="n"/>
      <c r="M128" s="27" t="n"/>
      <c r="N128" s="2">
        <f>IF(D128="","",IF(AND(J128&lt;&gt;"",J128&gt;=100,K128&lt;&gt;"",K128&lt;0.02),"제목·메타설명 수정",IF(AND(I128&lt;&gt;"",I128&gt;=8,I128&lt;=20),"본문 보강(표·FAQ·경험)",IF(AND(G128&lt;&gt;"",COUNT($G$2:$G$300)&gt;=5,G128&lt;=PERCENTILE($G$2:$G$300,0.3)),"하위30%: 제목·첫문단 수정","유지"))))</f>
        <v/>
      </c>
    </row>
    <row r="129">
      <c r="A129" s="27" t="n"/>
      <c r="B129" s="28" t="n"/>
      <c r="C129" s="28" t="n"/>
      <c r="D129" s="28" t="n"/>
      <c r="E129" s="28" t="n"/>
      <c r="F129" s="28" t="n"/>
      <c r="G129" s="29" t="n"/>
      <c r="H129" s="29" t="n"/>
      <c r="I129" s="28" t="n"/>
      <c r="J129" s="28" t="n"/>
      <c r="K129" s="30" t="n"/>
      <c r="L129" s="28" t="n"/>
      <c r="M129" s="27" t="n"/>
      <c r="N129" s="2">
        <f>IF(D129="","",IF(AND(J129&lt;&gt;"",J129&gt;=100,K129&lt;&gt;"",K129&lt;0.02),"제목·메타설명 수정",IF(AND(I129&lt;&gt;"",I129&gt;=8,I129&lt;=20),"본문 보강(표·FAQ·경험)",IF(AND(G129&lt;&gt;"",COUNT($G$2:$G$300)&gt;=5,G129&lt;=PERCENTILE($G$2:$G$300,0.3)),"하위30%: 제목·첫문단 수정","유지"))))</f>
        <v/>
      </c>
    </row>
    <row r="130">
      <c r="A130" s="27" t="n"/>
      <c r="B130" s="28" t="n"/>
      <c r="C130" s="28" t="n"/>
      <c r="D130" s="28" t="n"/>
      <c r="E130" s="28" t="n"/>
      <c r="F130" s="28" t="n"/>
      <c r="G130" s="29" t="n"/>
      <c r="H130" s="29" t="n"/>
      <c r="I130" s="28" t="n"/>
      <c r="J130" s="28" t="n"/>
      <c r="K130" s="30" t="n"/>
      <c r="L130" s="28" t="n"/>
      <c r="M130" s="27" t="n"/>
      <c r="N130" s="2">
        <f>IF(D130="","",IF(AND(J130&lt;&gt;"",J130&gt;=100,K130&lt;&gt;"",K130&lt;0.02),"제목·메타설명 수정",IF(AND(I130&lt;&gt;"",I130&gt;=8,I130&lt;=20),"본문 보강(표·FAQ·경험)",IF(AND(G130&lt;&gt;"",COUNT($G$2:$G$300)&gt;=5,G130&lt;=PERCENTILE($G$2:$G$300,0.3)),"하위30%: 제목·첫문단 수정","유지"))))</f>
        <v/>
      </c>
    </row>
    <row r="131">
      <c r="A131" s="27" t="n"/>
      <c r="B131" s="28" t="n"/>
      <c r="C131" s="28" t="n"/>
      <c r="D131" s="28" t="n"/>
      <c r="E131" s="28" t="n"/>
      <c r="F131" s="28" t="n"/>
      <c r="G131" s="29" t="n"/>
      <c r="H131" s="29" t="n"/>
      <c r="I131" s="28" t="n"/>
      <c r="J131" s="28" t="n"/>
      <c r="K131" s="30" t="n"/>
      <c r="L131" s="28" t="n"/>
      <c r="M131" s="27" t="n"/>
      <c r="N131" s="2">
        <f>IF(D131="","",IF(AND(J131&lt;&gt;"",J131&gt;=100,K131&lt;&gt;"",K131&lt;0.02),"제목·메타설명 수정",IF(AND(I131&lt;&gt;"",I131&gt;=8,I131&lt;=20),"본문 보강(표·FAQ·경험)",IF(AND(G131&lt;&gt;"",COUNT($G$2:$G$300)&gt;=5,G131&lt;=PERCENTILE($G$2:$G$300,0.3)),"하위30%: 제목·첫문단 수정","유지"))))</f>
        <v/>
      </c>
    </row>
    <row r="132">
      <c r="A132" s="27" t="n"/>
      <c r="B132" s="28" t="n"/>
      <c r="C132" s="28" t="n"/>
      <c r="D132" s="28" t="n"/>
      <c r="E132" s="28" t="n"/>
      <c r="F132" s="28" t="n"/>
      <c r="G132" s="29" t="n"/>
      <c r="H132" s="29" t="n"/>
      <c r="I132" s="28" t="n"/>
      <c r="J132" s="28" t="n"/>
      <c r="K132" s="30" t="n"/>
      <c r="L132" s="28" t="n"/>
      <c r="M132" s="27" t="n"/>
      <c r="N132" s="2">
        <f>IF(D132="","",IF(AND(J132&lt;&gt;"",J132&gt;=100,K132&lt;&gt;"",K132&lt;0.02),"제목·메타설명 수정",IF(AND(I132&lt;&gt;"",I132&gt;=8,I132&lt;=20),"본문 보강(표·FAQ·경험)",IF(AND(G132&lt;&gt;"",COUNT($G$2:$G$300)&gt;=5,G132&lt;=PERCENTILE($G$2:$G$300,0.3)),"하위30%: 제목·첫문단 수정","유지"))))</f>
        <v/>
      </c>
    </row>
    <row r="133">
      <c r="A133" s="27" t="n"/>
      <c r="B133" s="28" t="n"/>
      <c r="C133" s="28" t="n"/>
      <c r="D133" s="28" t="n"/>
      <c r="E133" s="28" t="n"/>
      <c r="F133" s="28" t="n"/>
      <c r="G133" s="29" t="n"/>
      <c r="H133" s="29" t="n"/>
      <c r="I133" s="28" t="n"/>
      <c r="J133" s="28" t="n"/>
      <c r="K133" s="30" t="n"/>
      <c r="L133" s="28" t="n"/>
      <c r="M133" s="27" t="n"/>
      <c r="N133" s="2">
        <f>IF(D133="","",IF(AND(J133&lt;&gt;"",J133&gt;=100,K133&lt;&gt;"",K133&lt;0.02),"제목·메타설명 수정",IF(AND(I133&lt;&gt;"",I133&gt;=8,I133&lt;=20),"본문 보강(표·FAQ·경험)",IF(AND(G133&lt;&gt;"",COUNT($G$2:$G$300)&gt;=5,G133&lt;=PERCENTILE($G$2:$G$300,0.3)),"하위30%: 제목·첫문단 수정","유지"))))</f>
        <v/>
      </c>
    </row>
    <row r="134">
      <c r="A134" s="27" t="n"/>
      <c r="B134" s="28" t="n"/>
      <c r="C134" s="28" t="n"/>
      <c r="D134" s="28" t="n"/>
      <c r="E134" s="28" t="n"/>
      <c r="F134" s="28" t="n"/>
      <c r="G134" s="29" t="n"/>
      <c r="H134" s="29" t="n"/>
      <c r="I134" s="28" t="n"/>
      <c r="J134" s="28" t="n"/>
      <c r="K134" s="30" t="n"/>
      <c r="L134" s="28" t="n"/>
      <c r="M134" s="27" t="n"/>
      <c r="N134" s="2">
        <f>IF(D134="","",IF(AND(J134&lt;&gt;"",J134&gt;=100,K134&lt;&gt;"",K134&lt;0.02),"제목·메타설명 수정",IF(AND(I134&lt;&gt;"",I134&gt;=8,I134&lt;=20),"본문 보강(표·FAQ·경험)",IF(AND(G134&lt;&gt;"",COUNT($G$2:$G$300)&gt;=5,G134&lt;=PERCENTILE($G$2:$G$300,0.3)),"하위30%: 제목·첫문단 수정","유지"))))</f>
        <v/>
      </c>
    </row>
    <row r="135">
      <c r="A135" s="27" t="n"/>
      <c r="B135" s="28" t="n"/>
      <c r="C135" s="28" t="n"/>
      <c r="D135" s="28" t="n"/>
      <c r="E135" s="28" t="n"/>
      <c r="F135" s="28" t="n"/>
      <c r="G135" s="29" t="n"/>
      <c r="H135" s="29" t="n"/>
      <c r="I135" s="28" t="n"/>
      <c r="J135" s="28" t="n"/>
      <c r="K135" s="30" t="n"/>
      <c r="L135" s="28" t="n"/>
      <c r="M135" s="27" t="n"/>
      <c r="N135" s="2">
        <f>IF(D135="","",IF(AND(J135&lt;&gt;"",J135&gt;=100,K135&lt;&gt;"",K135&lt;0.02),"제목·메타설명 수정",IF(AND(I135&lt;&gt;"",I135&gt;=8,I135&lt;=20),"본문 보강(표·FAQ·경험)",IF(AND(G135&lt;&gt;"",COUNT($G$2:$G$300)&gt;=5,G135&lt;=PERCENTILE($G$2:$G$300,0.3)),"하위30%: 제목·첫문단 수정","유지"))))</f>
        <v/>
      </c>
    </row>
    <row r="136">
      <c r="A136" s="27" t="n"/>
      <c r="B136" s="28" t="n"/>
      <c r="C136" s="28" t="n"/>
      <c r="D136" s="28" t="n"/>
      <c r="E136" s="28" t="n"/>
      <c r="F136" s="28" t="n"/>
      <c r="G136" s="29" t="n"/>
      <c r="H136" s="29" t="n"/>
      <c r="I136" s="28" t="n"/>
      <c r="J136" s="28" t="n"/>
      <c r="K136" s="30" t="n"/>
      <c r="L136" s="28" t="n"/>
      <c r="M136" s="27" t="n"/>
      <c r="N136" s="2">
        <f>IF(D136="","",IF(AND(J136&lt;&gt;"",J136&gt;=100,K136&lt;&gt;"",K136&lt;0.02),"제목·메타설명 수정",IF(AND(I136&lt;&gt;"",I136&gt;=8,I136&lt;=20),"본문 보강(표·FAQ·경험)",IF(AND(G136&lt;&gt;"",COUNT($G$2:$G$300)&gt;=5,G136&lt;=PERCENTILE($G$2:$G$300,0.3)),"하위30%: 제목·첫문단 수정","유지"))))</f>
        <v/>
      </c>
    </row>
    <row r="137">
      <c r="A137" s="27" t="n"/>
      <c r="B137" s="28" t="n"/>
      <c r="C137" s="28" t="n"/>
      <c r="D137" s="28" t="n"/>
      <c r="E137" s="28" t="n"/>
      <c r="F137" s="28" t="n"/>
      <c r="G137" s="29" t="n"/>
      <c r="H137" s="29" t="n"/>
      <c r="I137" s="28" t="n"/>
      <c r="J137" s="28" t="n"/>
      <c r="K137" s="30" t="n"/>
      <c r="L137" s="28" t="n"/>
      <c r="M137" s="27" t="n"/>
      <c r="N137" s="2">
        <f>IF(D137="","",IF(AND(J137&lt;&gt;"",J137&gt;=100,K137&lt;&gt;"",K137&lt;0.02),"제목·메타설명 수정",IF(AND(I137&lt;&gt;"",I137&gt;=8,I137&lt;=20),"본문 보강(표·FAQ·경험)",IF(AND(G137&lt;&gt;"",COUNT($G$2:$G$300)&gt;=5,G137&lt;=PERCENTILE($G$2:$G$300,0.3)),"하위30%: 제목·첫문단 수정","유지"))))</f>
        <v/>
      </c>
    </row>
    <row r="138">
      <c r="A138" s="27" t="n"/>
      <c r="B138" s="28" t="n"/>
      <c r="C138" s="28" t="n"/>
      <c r="D138" s="28" t="n"/>
      <c r="E138" s="28" t="n"/>
      <c r="F138" s="28" t="n"/>
      <c r="G138" s="29" t="n"/>
      <c r="H138" s="29" t="n"/>
      <c r="I138" s="28" t="n"/>
      <c r="J138" s="28" t="n"/>
      <c r="K138" s="30" t="n"/>
      <c r="L138" s="28" t="n"/>
      <c r="M138" s="27" t="n"/>
      <c r="N138" s="2">
        <f>IF(D138="","",IF(AND(J138&lt;&gt;"",J138&gt;=100,K138&lt;&gt;"",K138&lt;0.02),"제목·메타설명 수정",IF(AND(I138&lt;&gt;"",I138&gt;=8,I138&lt;=20),"본문 보강(표·FAQ·경험)",IF(AND(G138&lt;&gt;"",COUNT($G$2:$G$300)&gt;=5,G138&lt;=PERCENTILE($G$2:$G$300,0.3)),"하위30%: 제목·첫문단 수정","유지"))))</f>
        <v/>
      </c>
    </row>
    <row r="139">
      <c r="A139" s="27" t="n"/>
      <c r="B139" s="28" t="n"/>
      <c r="C139" s="28" t="n"/>
      <c r="D139" s="28" t="n"/>
      <c r="E139" s="28" t="n"/>
      <c r="F139" s="28" t="n"/>
      <c r="G139" s="29" t="n"/>
      <c r="H139" s="29" t="n"/>
      <c r="I139" s="28" t="n"/>
      <c r="J139" s="28" t="n"/>
      <c r="K139" s="30" t="n"/>
      <c r="L139" s="28" t="n"/>
      <c r="M139" s="27" t="n"/>
      <c r="N139" s="2">
        <f>IF(D139="","",IF(AND(J139&lt;&gt;"",J139&gt;=100,K139&lt;&gt;"",K139&lt;0.02),"제목·메타설명 수정",IF(AND(I139&lt;&gt;"",I139&gt;=8,I139&lt;=20),"본문 보강(표·FAQ·경험)",IF(AND(G139&lt;&gt;"",COUNT($G$2:$G$300)&gt;=5,G139&lt;=PERCENTILE($G$2:$G$300,0.3)),"하위30%: 제목·첫문단 수정","유지"))))</f>
        <v/>
      </c>
    </row>
    <row r="140">
      <c r="A140" s="27" t="n"/>
      <c r="B140" s="28" t="n"/>
      <c r="C140" s="28" t="n"/>
      <c r="D140" s="28" t="n"/>
      <c r="E140" s="28" t="n"/>
      <c r="F140" s="28" t="n"/>
      <c r="G140" s="29" t="n"/>
      <c r="H140" s="29" t="n"/>
      <c r="I140" s="28" t="n"/>
      <c r="J140" s="28" t="n"/>
      <c r="K140" s="30" t="n"/>
      <c r="L140" s="28" t="n"/>
      <c r="M140" s="27" t="n"/>
      <c r="N140" s="2">
        <f>IF(D140="","",IF(AND(J140&lt;&gt;"",J140&gt;=100,K140&lt;&gt;"",K140&lt;0.02),"제목·메타설명 수정",IF(AND(I140&lt;&gt;"",I140&gt;=8,I140&lt;=20),"본문 보강(표·FAQ·경험)",IF(AND(G140&lt;&gt;"",COUNT($G$2:$G$300)&gt;=5,G140&lt;=PERCENTILE($G$2:$G$300,0.3)),"하위30%: 제목·첫문단 수정","유지"))))</f>
        <v/>
      </c>
    </row>
    <row r="141">
      <c r="A141" s="27" t="n"/>
      <c r="B141" s="28" t="n"/>
      <c r="C141" s="28" t="n"/>
      <c r="D141" s="28" t="n"/>
      <c r="E141" s="28" t="n"/>
      <c r="F141" s="28" t="n"/>
      <c r="G141" s="29" t="n"/>
      <c r="H141" s="29" t="n"/>
      <c r="I141" s="28" t="n"/>
      <c r="J141" s="28" t="n"/>
      <c r="K141" s="30" t="n"/>
      <c r="L141" s="28" t="n"/>
      <c r="M141" s="27" t="n"/>
      <c r="N141" s="2">
        <f>IF(D141="","",IF(AND(J141&lt;&gt;"",J141&gt;=100,K141&lt;&gt;"",K141&lt;0.02),"제목·메타설명 수정",IF(AND(I141&lt;&gt;"",I141&gt;=8,I141&lt;=20),"본문 보강(표·FAQ·경험)",IF(AND(G141&lt;&gt;"",COUNT($G$2:$G$300)&gt;=5,G141&lt;=PERCENTILE($G$2:$G$300,0.3)),"하위30%: 제목·첫문단 수정","유지"))))</f>
        <v/>
      </c>
    </row>
    <row r="142">
      <c r="A142" s="27" t="n"/>
      <c r="B142" s="28" t="n"/>
      <c r="C142" s="28" t="n"/>
      <c r="D142" s="28" t="n"/>
      <c r="E142" s="28" t="n"/>
      <c r="F142" s="28" t="n"/>
      <c r="G142" s="29" t="n"/>
      <c r="H142" s="29" t="n"/>
      <c r="I142" s="28" t="n"/>
      <c r="J142" s="28" t="n"/>
      <c r="K142" s="30" t="n"/>
      <c r="L142" s="28" t="n"/>
      <c r="M142" s="27" t="n"/>
      <c r="N142" s="2">
        <f>IF(D142="","",IF(AND(J142&lt;&gt;"",J142&gt;=100,K142&lt;&gt;"",K142&lt;0.02),"제목·메타설명 수정",IF(AND(I142&lt;&gt;"",I142&gt;=8,I142&lt;=20),"본문 보강(표·FAQ·경험)",IF(AND(G142&lt;&gt;"",COUNT($G$2:$G$300)&gt;=5,G142&lt;=PERCENTILE($G$2:$G$300,0.3)),"하위30%: 제목·첫문단 수정","유지"))))</f>
        <v/>
      </c>
    </row>
    <row r="143">
      <c r="A143" s="27" t="n"/>
      <c r="B143" s="28" t="n"/>
      <c r="C143" s="28" t="n"/>
      <c r="D143" s="28" t="n"/>
      <c r="E143" s="28" t="n"/>
      <c r="F143" s="28" t="n"/>
      <c r="G143" s="29" t="n"/>
      <c r="H143" s="29" t="n"/>
      <c r="I143" s="28" t="n"/>
      <c r="J143" s="28" t="n"/>
      <c r="K143" s="30" t="n"/>
      <c r="L143" s="28" t="n"/>
      <c r="M143" s="27" t="n"/>
      <c r="N143" s="2">
        <f>IF(D143="","",IF(AND(J143&lt;&gt;"",J143&gt;=100,K143&lt;&gt;"",K143&lt;0.02),"제목·메타설명 수정",IF(AND(I143&lt;&gt;"",I143&gt;=8,I143&lt;=20),"본문 보강(표·FAQ·경험)",IF(AND(G143&lt;&gt;"",COUNT($G$2:$G$300)&gt;=5,G143&lt;=PERCENTILE($G$2:$G$300,0.3)),"하위30%: 제목·첫문단 수정","유지"))))</f>
        <v/>
      </c>
    </row>
    <row r="144">
      <c r="A144" s="27" t="n"/>
      <c r="B144" s="28" t="n"/>
      <c r="C144" s="28" t="n"/>
      <c r="D144" s="28" t="n"/>
      <c r="E144" s="28" t="n"/>
      <c r="F144" s="28" t="n"/>
      <c r="G144" s="29" t="n"/>
      <c r="H144" s="29" t="n"/>
      <c r="I144" s="28" t="n"/>
      <c r="J144" s="28" t="n"/>
      <c r="K144" s="30" t="n"/>
      <c r="L144" s="28" t="n"/>
      <c r="M144" s="27" t="n"/>
      <c r="N144" s="2">
        <f>IF(D144="","",IF(AND(J144&lt;&gt;"",J144&gt;=100,K144&lt;&gt;"",K144&lt;0.02),"제목·메타설명 수정",IF(AND(I144&lt;&gt;"",I144&gt;=8,I144&lt;=20),"본문 보강(표·FAQ·경험)",IF(AND(G144&lt;&gt;"",COUNT($G$2:$G$300)&gt;=5,G144&lt;=PERCENTILE($G$2:$G$300,0.3)),"하위30%: 제목·첫문단 수정","유지"))))</f>
        <v/>
      </c>
    </row>
    <row r="145">
      <c r="A145" s="27" t="n"/>
      <c r="B145" s="28" t="n"/>
      <c r="C145" s="28" t="n"/>
      <c r="D145" s="28" t="n"/>
      <c r="E145" s="28" t="n"/>
      <c r="F145" s="28" t="n"/>
      <c r="G145" s="29" t="n"/>
      <c r="H145" s="29" t="n"/>
      <c r="I145" s="28" t="n"/>
      <c r="J145" s="28" t="n"/>
      <c r="K145" s="30" t="n"/>
      <c r="L145" s="28" t="n"/>
      <c r="M145" s="27" t="n"/>
      <c r="N145" s="2">
        <f>IF(D145="","",IF(AND(J145&lt;&gt;"",J145&gt;=100,K145&lt;&gt;"",K145&lt;0.02),"제목·메타설명 수정",IF(AND(I145&lt;&gt;"",I145&gt;=8,I145&lt;=20),"본문 보강(표·FAQ·경험)",IF(AND(G145&lt;&gt;"",COUNT($G$2:$G$300)&gt;=5,G145&lt;=PERCENTILE($G$2:$G$300,0.3)),"하위30%: 제목·첫문단 수정","유지"))))</f>
        <v/>
      </c>
    </row>
    <row r="146">
      <c r="A146" s="27" t="n"/>
      <c r="B146" s="28" t="n"/>
      <c r="C146" s="28" t="n"/>
      <c r="D146" s="28" t="n"/>
      <c r="E146" s="28" t="n"/>
      <c r="F146" s="28" t="n"/>
      <c r="G146" s="29" t="n"/>
      <c r="H146" s="29" t="n"/>
      <c r="I146" s="28" t="n"/>
      <c r="J146" s="28" t="n"/>
      <c r="K146" s="30" t="n"/>
      <c r="L146" s="28" t="n"/>
      <c r="M146" s="27" t="n"/>
      <c r="N146" s="2">
        <f>IF(D146="","",IF(AND(J146&lt;&gt;"",J146&gt;=100,K146&lt;&gt;"",K146&lt;0.02),"제목·메타설명 수정",IF(AND(I146&lt;&gt;"",I146&gt;=8,I146&lt;=20),"본문 보강(표·FAQ·경험)",IF(AND(G146&lt;&gt;"",COUNT($G$2:$G$300)&gt;=5,G146&lt;=PERCENTILE($G$2:$G$300,0.3)),"하위30%: 제목·첫문단 수정","유지"))))</f>
        <v/>
      </c>
    </row>
    <row r="147">
      <c r="A147" s="27" t="n"/>
      <c r="B147" s="28" t="n"/>
      <c r="C147" s="28" t="n"/>
      <c r="D147" s="28" t="n"/>
      <c r="E147" s="28" t="n"/>
      <c r="F147" s="28" t="n"/>
      <c r="G147" s="29" t="n"/>
      <c r="H147" s="29" t="n"/>
      <c r="I147" s="28" t="n"/>
      <c r="J147" s="28" t="n"/>
      <c r="K147" s="30" t="n"/>
      <c r="L147" s="28" t="n"/>
      <c r="M147" s="27" t="n"/>
      <c r="N147" s="2">
        <f>IF(D147="","",IF(AND(J147&lt;&gt;"",J147&gt;=100,K147&lt;&gt;"",K147&lt;0.02),"제목·메타설명 수정",IF(AND(I147&lt;&gt;"",I147&gt;=8,I147&lt;=20),"본문 보강(표·FAQ·경험)",IF(AND(G147&lt;&gt;"",COUNT($G$2:$G$300)&gt;=5,G147&lt;=PERCENTILE($G$2:$G$300,0.3)),"하위30%: 제목·첫문단 수정","유지"))))</f>
        <v/>
      </c>
    </row>
    <row r="148">
      <c r="A148" s="27" t="n"/>
      <c r="B148" s="28" t="n"/>
      <c r="C148" s="28" t="n"/>
      <c r="D148" s="28" t="n"/>
      <c r="E148" s="28" t="n"/>
      <c r="F148" s="28" t="n"/>
      <c r="G148" s="29" t="n"/>
      <c r="H148" s="29" t="n"/>
      <c r="I148" s="28" t="n"/>
      <c r="J148" s="28" t="n"/>
      <c r="K148" s="30" t="n"/>
      <c r="L148" s="28" t="n"/>
      <c r="M148" s="27" t="n"/>
      <c r="N148" s="2">
        <f>IF(D148="","",IF(AND(J148&lt;&gt;"",J148&gt;=100,K148&lt;&gt;"",K148&lt;0.02),"제목·메타설명 수정",IF(AND(I148&lt;&gt;"",I148&gt;=8,I148&lt;=20),"본문 보강(표·FAQ·경험)",IF(AND(G148&lt;&gt;"",COUNT($G$2:$G$300)&gt;=5,G148&lt;=PERCENTILE($G$2:$G$300,0.3)),"하위30%: 제목·첫문단 수정","유지"))))</f>
        <v/>
      </c>
    </row>
    <row r="149">
      <c r="A149" s="27" t="n"/>
      <c r="B149" s="28" t="n"/>
      <c r="C149" s="28" t="n"/>
      <c r="D149" s="28" t="n"/>
      <c r="E149" s="28" t="n"/>
      <c r="F149" s="28" t="n"/>
      <c r="G149" s="29" t="n"/>
      <c r="H149" s="29" t="n"/>
      <c r="I149" s="28" t="n"/>
      <c r="J149" s="28" t="n"/>
      <c r="K149" s="30" t="n"/>
      <c r="L149" s="28" t="n"/>
      <c r="M149" s="27" t="n"/>
      <c r="N149" s="2">
        <f>IF(D149="","",IF(AND(J149&lt;&gt;"",J149&gt;=100,K149&lt;&gt;"",K149&lt;0.02),"제목·메타설명 수정",IF(AND(I149&lt;&gt;"",I149&gt;=8,I149&lt;=20),"본문 보강(표·FAQ·경험)",IF(AND(G149&lt;&gt;"",COUNT($G$2:$G$300)&gt;=5,G149&lt;=PERCENTILE($G$2:$G$300,0.3)),"하위30%: 제목·첫문단 수정","유지"))))</f>
        <v/>
      </c>
    </row>
    <row r="150">
      <c r="A150" s="27" t="n"/>
      <c r="B150" s="28" t="n"/>
      <c r="C150" s="28" t="n"/>
      <c r="D150" s="28" t="n"/>
      <c r="E150" s="28" t="n"/>
      <c r="F150" s="28" t="n"/>
      <c r="G150" s="29" t="n"/>
      <c r="H150" s="29" t="n"/>
      <c r="I150" s="28" t="n"/>
      <c r="J150" s="28" t="n"/>
      <c r="K150" s="30" t="n"/>
      <c r="L150" s="28" t="n"/>
      <c r="M150" s="27" t="n"/>
      <c r="N150" s="2">
        <f>IF(D150="","",IF(AND(J150&lt;&gt;"",J150&gt;=100,K150&lt;&gt;"",K150&lt;0.02),"제목·메타설명 수정",IF(AND(I150&lt;&gt;"",I150&gt;=8,I150&lt;=20),"본문 보강(표·FAQ·경험)",IF(AND(G150&lt;&gt;"",COUNT($G$2:$G$300)&gt;=5,G150&lt;=PERCENTILE($G$2:$G$300,0.3)),"하위30%: 제목·첫문단 수정","유지"))))</f>
        <v/>
      </c>
    </row>
    <row r="151">
      <c r="A151" s="27" t="n"/>
      <c r="B151" s="28" t="n"/>
      <c r="C151" s="28" t="n"/>
      <c r="D151" s="28" t="n"/>
      <c r="E151" s="28" t="n"/>
      <c r="F151" s="28" t="n"/>
      <c r="G151" s="29" t="n"/>
      <c r="H151" s="29" t="n"/>
      <c r="I151" s="28" t="n"/>
      <c r="J151" s="28" t="n"/>
      <c r="K151" s="30" t="n"/>
      <c r="L151" s="28" t="n"/>
      <c r="M151" s="27" t="n"/>
      <c r="N151" s="2">
        <f>IF(D151="","",IF(AND(J151&lt;&gt;"",J151&gt;=100,K151&lt;&gt;"",K151&lt;0.02),"제목·메타설명 수정",IF(AND(I151&lt;&gt;"",I151&gt;=8,I151&lt;=20),"본문 보강(표·FAQ·경험)",IF(AND(G151&lt;&gt;"",COUNT($G$2:$G$300)&gt;=5,G151&lt;=PERCENTILE($G$2:$G$300,0.3)),"하위30%: 제목·첫문단 수정","유지"))))</f>
        <v/>
      </c>
    </row>
    <row r="152">
      <c r="A152" s="27" t="n"/>
      <c r="B152" s="28" t="n"/>
      <c r="C152" s="28" t="n"/>
      <c r="D152" s="28" t="n"/>
      <c r="E152" s="28" t="n"/>
      <c r="F152" s="28" t="n"/>
      <c r="G152" s="29" t="n"/>
      <c r="H152" s="29" t="n"/>
      <c r="I152" s="28" t="n"/>
      <c r="J152" s="28" t="n"/>
      <c r="K152" s="30" t="n"/>
      <c r="L152" s="28" t="n"/>
      <c r="M152" s="27" t="n"/>
      <c r="N152" s="2">
        <f>IF(D152="","",IF(AND(J152&lt;&gt;"",J152&gt;=100,K152&lt;&gt;"",K152&lt;0.02),"제목·메타설명 수정",IF(AND(I152&lt;&gt;"",I152&gt;=8,I152&lt;=20),"본문 보강(표·FAQ·경험)",IF(AND(G152&lt;&gt;"",COUNT($G$2:$G$300)&gt;=5,G152&lt;=PERCENTILE($G$2:$G$300,0.3)),"하위30%: 제목·첫문단 수정","유지"))))</f>
        <v/>
      </c>
    </row>
    <row r="153">
      <c r="A153" s="27" t="n"/>
      <c r="B153" s="28" t="n"/>
      <c r="C153" s="28" t="n"/>
      <c r="D153" s="28" t="n"/>
      <c r="E153" s="28" t="n"/>
      <c r="F153" s="28" t="n"/>
      <c r="G153" s="29" t="n"/>
      <c r="H153" s="29" t="n"/>
      <c r="I153" s="28" t="n"/>
      <c r="J153" s="28" t="n"/>
      <c r="K153" s="30" t="n"/>
      <c r="L153" s="28" t="n"/>
      <c r="M153" s="27" t="n"/>
      <c r="N153" s="2">
        <f>IF(D153="","",IF(AND(J153&lt;&gt;"",J153&gt;=100,K153&lt;&gt;"",K153&lt;0.02),"제목·메타설명 수정",IF(AND(I153&lt;&gt;"",I153&gt;=8,I153&lt;=20),"본문 보강(표·FAQ·경험)",IF(AND(G153&lt;&gt;"",COUNT($G$2:$G$300)&gt;=5,G153&lt;=PERCENTILE($G$2:$G$300,0.3)),"하위30%: 제목·첫문단 수정","유지"))))</f>
        <v/>
      </c>
    </row>
    <row r="154">
      <c r="A154" s="27" t="n"/>
      <c r="B154" s="28" t="n"/>
      <c r="C154" s="28" t="n"/>
      <c r="D154" s="28" t="n"/>
      <c r="E154" s="28" t="n"/>
      <c r="F154" s="28" t="n"/>
      <c r="G154" s="29" t="n"/>
      <c r="H154" s="29" t="n"/>
      <c r="I154" s="28" t="n"/>
      <c r="J154" s="28" t="n"/>
      <c r="K154" s="30" t="n"/>
      <c r="L154" s="28" t="n"/>
      <c r="M154" s="27" t="n"/>
      <c r="N154" s="2">
        <f>IF(D154="","",IF(AND(J154&lt;&gt;"",J154&gt;=100,K154&lt;&gt;"",K154&lt;0.02),"제목·메타설명 수정",IF(AND(I154&lt;&gt;"",I154&gt;=8,I154&lt;=20),"본문 보강(표·FAQ·경험)",IF(AND(G154&lt;&gt;"",COUNT($G$2:$G$300)&gt;=5,G154&lt;=PERCENTILE($G$2:$G$300,0.3)),"하위30%: 제목·첫문단 수정","유지"))))</f>
        <v/>
      </c>
    </row>
    <row r="155">
      <c r="A155" s="27" t="n"/>
      <c r="B155" s="28" t="n"/>
      <c r="C155" s="28" t="n"/>
      <c r="D155" s="28" t="n"/>
      <c r="E155" s="28" t="n"/>
      <c r="F155" s="28" t="n"/>
      <c r="G155" s="29" t="n"/>
      <c r="H155" s="29" t="n"/>
      <c r="I155" s="28" t="n"/>
      <c r="J155" s="28" t="n"/>
      <c r="K155" s="30" t="n"/>
      <c r="L155" s="28" t="n"/>
      <c r="M155" s="27" t="n"/>
      <c r="N155" s="2">
        <f>IF(D155="","",IF(AND(J155&lt;&gt;"",J155&gt;=100,K155&lt;&gt;"",K155&lt;0.02),"제목·메타설명 수정",IF(AND(I155&lt;&gt;"",I155&gt;=8,I155&lt;=20),"본문 보강(표·FAQ·경험)",IF(AND(G155&lt;&gt;"",COUNT($G$2:$G$300)&gt;=5,G155&lt;=PERCENTILE($G$2:$G$300,0.3)),"하위30%: 제목·첫문단 수정","유지"))))</f>
        <v/>
      </c>
    </row>
    <row r="156">
      <c r="A156" s="27" t="n"/>
      <c r="B156" s="28" t="n"/>
      <c r="C156" s="28" t="n"/>
      <c r="D156" s="28" t="n"/>
      <c r="E156" s="28" t="n"/>
      <c r="F156" s="28" t="n"/>
      <c r="G156" s="29" t="n"/>
      <c r="H156" s="29" t="n"/>
      <c r="I156" s="28" t="n"/>
      <c r="J156" s="28" t="n"/>
      <c r="K156" s="30" t="n"/>
      <c r="L156" s="28" t="n"/>
      <c r="M156" s="27" t="n"/>
      <c r="N156" s="2">
        <f>IF(D156="","",IF(AND(J156&lt;&gt;"",J156&gt;=100,K156&lt;&gt;"",K156&lt;0.02),"제목·메타설명 수정",IF(AND(I156&lt;&gt;"",I156&gt;=8,I156&lt;=20),"본문 보강(표·FAQ·경험)",IF(AND(G156&lt;&gt;"",COUNT($G$2:$G$300)&gt;=5,G156&lt;=PERCENTILE($G$2:$G$300,0.3)),"하위30%: 제목·첫문단 수정","유지"))))</f>
        <v/>
      </c>
    </row>
    <row r="157">
      <c r="A157" s="27" t="n"/>
      <c r="B157" s="28" t="n"/>
      <c r="C157" s="28" t="n"/>
      <c r="D157" s="28" t="n"/>
      <c r="E157" s="28" t="n"/>
      <c r="F157" s="28" t="n"/>
      <c r="G157" s="29" t="n"/>
      <c r="H157" s="29" t="n"/>
      <c r="I157" s="28" t="n"/>
      <c r="J157" s="28" t="n"/>
      <c r="K157" s="30" t="n"/>
      <c r="L157" s="28" t="n"/>
      <c r="M157" s="27" t="n"/>
      <c r="N157" s="2">
        <f>IF(D157="","",IF(AND(J157&lt;&gt;"",J157&gt;=100,K157&lt;&gt;"",K157&lt;0.02),"제목·메타설명 수정",IF(AND(I157&lt;&gt;"",I157&gt;=8,I157&lt;=20),"본문 보강(표·FAQ·경험)",IF(AND(G157&lt;&gt;"",COUNT($G$2:$G$300)&gt;=5,G157&lt;=PERCENTILE($G$2:$G$300,0.3)),"하위30%: 제목·첫문단 수정","유지"))))</f>
        <v/>
      </c>
    </row>
    <row r="158">
      <c r="A158" s="27" t="n"/>
      <c r="B158" s="28" t="n"/>
      <c r="C158" s="28" t="n"/>
      <c r="D158" s="28" t="n"/>
      <c r="E158" s="28" t="n"/>
      <c r="F158" s="28" t="n"/>
      <c r="G158" s="29" t="n"/>
      <c r="H158" s="29" t="n"/>
      <c r="I158" s="28" t="n"/>
      <c r="J158" s="28" t="n"/>
      <c r="K158" s="30" t="n"/>
      <c r="L158" s="28" t="n"/>
      <c r="M158" s="27" t="n"/>
      <c r="N158" s="2">
        <f>IF(D158="","",IF(AND(J158&lt;&gt;"",J158&gt;=100,K158&lt;&gt;"",K158&lt;0.02),"제목·메타설명 수정",IF(AND(I158&lt;&gt;"",I158&gt;=8,I158&lt;=20),"본문 보강(표·FAQ·경험)",IF(AND(G158&lt;&gt;"",COUNT($G$2:$G$300)&gt;=5,G158&lt;=PERCENTILE($G$2:$G$300,0.3)),"하위30%: 제목·첫문단 수정","유지"))))</f>
        <v/>
      </c>
    </row>
    <row r="159">
      <c r="A159" s="27" t="n"/>
      <c r="B159" s="28" t="n"/>
      <c r="C159" s="28" t="n"/>
      <c r="D159" s="28" t="n"/>
      <c r="E159" s="28" t="n"/>
      <c r="F159" s="28" t="n"/>
      <c r="G159" s="29" t="n"/>
      <c r="H159" s="29" t="n"/>
      <c r="I159" s="28" t="n"/>
      <c r="J159" s="28" t="n"/>
      <c r="K159" s="30" t="n"/>
      <c r="L159" s="28" t="n"/>
      <c r="M159" s="27" t="n"/>
      <c r="N159" s="2">
        <f>IF(D159="","",IF(AND(J159&lt;&gt;"",J159&gt;=100,K159&lt;&gt;"",K159&lt;0.02),"제목·메타설명 수정",IF(AND(I159&lt;&gt;"",I159&gt;=8,I159&lt;=20),"본문 보강(표·FAQ·경험)",IF(AND(G159&lt;&gt;"",COUNT($G$2:$G$300)&gt;=5,G159&lt;=PERCENTILE($G$2:$G$300,0.3)),"하위30%: 제목·첫문단 수정","유지"))))</f>
        <v/>
      </c>
    </row>
    <row r="160">
      <c r="A160" s="27" t="n"/>
      <c r="B160" s="28" t="n"/>
      <c r="C160" s="28" t="n"/>
      <c r="D160" s="28" t="n"/>
      <c r="E160" s="28" t="n"/>
      <c r="F160" s="28" t="n"/>
      <c r="G160" s="29" t="n"/>
      <c r="H160" s="29" t="n"/>
      <c r="I160" s="28" t="n"/>
      <c r="J160" s="28" t="n"/>
      <c r="K160" s="30" t="n"/>
      <c r="L160" s="28" t="n"/>
      <c r="M160" s="27" t="n"/>
      <c r="N160" s="2">
        <f>IF(D160="","",IF(AND(J160&lt;&gt;"",J160&gt;=100,K160&lt;&gt;"",K160&lt;0.02),"제목·메타설명 수정",IF(AND(I160&lt;&gt;"",I160&gt;=8,I160&lt;=20),"본문 보강(표·FAQ·경험)",IF(AND(G160&lt;&gt;"",COUNT($G$2:$G$300)&gt;=5,G160&lt;=PERCENTILE($G$2:$G$300,0.3)),"하위30%: 제목·첫문단 수정","유지"))))</f>
        <v/>
      </c>
    </row>
    <row r="161">
      <c r="A161" s="27" t="n"/>
      <c r="B161" s="28" t="n"/>
      <c r="C161" s="28" t="n"/>
      <c r="D161" s="28" t="n"/>
      <c r="E161" s="28" t="n"/>
      <c r="F161" s="28" t="n"/>
      <c r="G161" s="29" t="n"/>
      <c r="H161" s="29" t="n"/>
      <c r="I161" s="28" t="n"/>
      <c r="J161" s="28" t="n"/>
      <c r="K161" s="30" t="n"/>
      <c r="L161" s="28" t="n"/>
      <c r="M161" s="27" t="n"/>
      <c r="N161" s="2">
        <f>IF(D161="","",IF(AND(J161&lt;&gt;"",J161&gt;=100,K161&lt;&gt;"",K161&lt;0.02),"제목·메타설명 수정",IF(AND(I161&lt;&gt;"",I161&gt;=8,I161&lt;=20),"본문 보강(표·FAQ·경험)",IF(AND(G161&lt;&gt;"",COUNT($G$2:$G$300)&gt;=5,G161&lt;=PERCENTILE($G$2:$G$300,0.3)),"하위30%: 제목·첫문단 수정","유지"))))</f>
        <v/>
      </c>
    </row>
    <row r="162">
      <c r="A162" s="27" t="n"/>
      <c r="B162" s="28" t="n"/>
      <c r="C162" s="28" t="n"/>
      <c r="D162" s="28" t="n"/>
      <c r="E162" s="28" t="n"/>
      <c r="F162" s="28" t="n"/>
      <c r="G162" s="29" t="n"/>
      <c r="H162" s="29" t="n"/>
      <c r="I162" s="28" t="n"/>
      <c r="J162" s="28" t="n"/>
      <c r="K162" s="30" t="n"/>
      <c r="L162" s="28" t="n"/>
      <c r="M162" s="27" t="n"/>
      <c r="N162" s="2">
        <f>IF(D162="","",IF(AND(J162&lt;&gt;"",J162&gt;=100,K162&lt;&gt;"",K162&lt;0.02),"제목·메타설명 수정",IF(AND(I162&lt;&gt;"",I162&gt;=8,I162&lt;=20),"본문 보강(표·FAQ·경험)",IF(AND(G162&lt;&gt;"",COUNT($G$2:$G$300)&gt;=5,G162&lt;=PERCENTILE($G$2:$G$300,0.3)),"하위30%: 제목·첫문단 수정","유지"))))</f>
        <v/>
      </c>
    </row>
    <row r="163">
      <c r="A163" s="27" t="n"/>
      <c r="B163" s="28" t="n"/>
      <c r="C163" s="28" t="n"/>
      <c r="D163" s="28" t="n"/>
      <c r="E163" s="28" t="n"/>
      <c r="F163" s="28" t="n"/>
      <c r="G163" s="29" t="n"/>
      <c r="H163" s="29" t="n"/>
      <c r="I163" s="28" t="n"/>
      <c r="J163" s="28" t="n"/>
      <c r="K163" s="30" t="n"/>
      <c r="L163" s="28" t="n"/>
      <c r="M163" s="27" t="n"/>
      <c r="N163" s="2">
        <f>IF(D163="","",IF(AND(J163&lt;&gt;"",J163&gt;=100,K163&lt;&gt;"",K163&lt;0.02),"제목·메타설명 수정",IF(AND(I163&lt;&gt;"",I163&gt;=8,I163&lt;=20),"본문 보강(표·FAQ·경험)",IF(AND(G163&lt;&gt;"",COUNT($G$2:$G$300)&gt;=5,G163&lt;=PERCENTILE($G$2:$G$300,0.3)),"하위30%: 제목·첫문단 수정","유지"))))</f>
        <v/>
      </c>
    </row>
    <row r="164">
      <c r="A164" s="27" t="n"/>
      <c r="B164" s="28" t="n"/>
      <c r="C164" s="28" t="n"/>
      <c r="D164" s="28" t="n"/>
      <c r="E164" s="28" t="n"/>
      <c r="F164" s="28" t="n"/>
      <c r="G164" s="29" t="n"/>
      <c r="H164" s="29" t="n"/>
      <c r="I164" s="28" t="n"/>
      <c r="J164" s="28" t="n"/>
      <c r="K164" s="30" t="n"/>
      <c r="L164" s="28" t="n"/>
      <c r="M164" s="27" t="n"/>
      <c r="N164" s="2">
        <f>IF(D164="","",IF(AND(J164&lt;&gt;"",J164&gt;=100,K164&lt;&gt;"",K164&lt;0.02),"제목·메타설명 수정",IF(AND(I164&lt;&gt;"",I164&gt;=8,I164&lt;=20),"본문 보강(표·FAQ·경험)",IF(AND(G164&lt;&gt;"",COUNT($G$2:$G$300)&gt;=5,G164&lt;=PERCENTILE($G$2:$G$300,0.3)),"하위30%: 제목·첫문단 수정","유지"))))</f>
        <v/>
      </c>
    </row>
    <row r="165">
      <c r="A165" s="27" t="n"/>
      <c r="B165" s="28" t="n"/>
      <c r="C165" s="28" t="n"/>
      <c r="D165" s="28" t="n"/>
      <c r="E165" s="28" t="n"/>
      <c r="F165" s="28" t="n"/>
      <c r="G165" s="29" t="n"/>
      <c r="H165" s="29" t="n"/>
      <c r="I165" s="28" t="n"/>
      <c r="J165" s="28" t="n"/>
      <c r="K165" s="30" t="n"/>
      <c r="L165" s="28" t="n"/>
      <c r="M165" s="27" t="n"/>
      <c r="N165" s="2">
        <f>IF(D165="","",IF(AND(J165&lt;&gt;"",J165&gt;=100,K165&lt;&gt;"",K165&lt;0.02),"제목·메타설명 수정",IF(AND(I165&lt;&gt;"",I165&gt;=8,I165&lt;=20),"본문 보강(표·FAQ·경험)",IF(AND(G165&lt;&gt;"",COUNT($G$2:$G$300)&gt;=5,G165&lt;=PERCENTILE($G$2:$G$300,0.3)),"하위30%: 제목·첫문단 수정","유지"))))</f>
        <v/>
      </c>
    </row>
    <row r="166">
      <c r="A166" s="27" t="n"/>
      <c r="B166" s="28" t="n"/>
      <c r="C166" s="28" t="n"/>
      <c r="D166" s="28" t="n"/>
      <c r="E166" s="28" t="n"/>
      <c r="F166" s="28" t="n"/>
      <c r="G166" s="29" t="n"/>
      <c r="H166" s="29" t="n"/>
      <c r="I166" s="28" t="n"/>
      <c r="J166" s="28" t="n"/>
      <c r="K166" s="30" t="n"/>
      <c r="L166" s="28" t="n"/>
      <c r="M166" s="27" t="n"/>
      <c r="N166" s="2">
        <f>IF(D166="","",IF(AND(J166&lt;&gt;"",J166&gt;=100,K166&lt;&gt;"",K166&lt;0.02),"제목·메타설명 수정",IF(AND(I166&lt;&gt;"",I166&gt;=8,I166&lt;=20),"본문 보강(표·FAQ·경험)",IF(AND(G166&lt;&gt;"",COUNT($G$2:$G$300)&gt;=5,G166&lt;=PERCENTILE($G$2:$G$300,0.3)),"하위30%: 제목·첫문단 수정","유지"))))</f>
        <v/>
      </c>
    </row>
    <row r="167">
      <c r="A167" s="27" t="n"/>
      <c r="B167" s="28" t="n"/>
      <c r="C167" s="28" t="n"/>
      <c r="D167" s="28" t="n"/>
      <c r="E167" s="28" t="n"/>
      <c r="F167" s="28" t="n"/>
      <c r="G167" s="29" t="n"/>
      <c r="H167" s="29" t="n"/>
      <c r="I167" s="28" t="n"/>
      <c r="J167" s="28" t="n"/>
      <c r="K167" s="30" t="n"/>
      <c r="L167" s="28" t="n"/>
      <c r="M167" s="27" t="n"/>
      <c r="N167" s="2">
        <f>IF(D167="","",IF(AND(J167&lt;&gt;"",J167&gt;=100,K167&lt;&gt;"",K167&lt;0.02),"제목·메타설명 수정",IF(AND(I167&lt;&gt;"",I167&gt;=8,I167&lt;=20),"본문 보강(표·FAQ·경험)",IF(AND(G167&lt;&gt;"",COUNT($G$2:$G$300)&gt;=5,G167&lt;=PERCENTILE($G$2:$G$300,0.3)),"하위30%: 제목·첫문단 수정","유지"))))</f>
        <v/>
      </c>
    </row>
    <row r="168">
      <c r="A168" s="27" t="n"/>
      <c r="B168" s="28" t="n"/>
      <c r="C168" s="28" t="n"/>
      <c r="D168" s="28" t="n"/>
      <c r="E168" s="28" t="n"/>
      <c r="F168" s="28" t="n"/>
      <c r="G168" s="29" t="n"/>
      <c r="H168" s="29" t="n"/>
      <c r="I168" s="28" t="n"/>
      <c r="J168" s="28" t="n"/>
      <c r="K168" s="30" t="n"/>
      <c r="L168" s="28" t="n"/>
      <c r="M168" s="27" t="n"/>
      <c r="N168" s="2">
        <f>IF(D168="","",IF(AND(J168&lt;&gt;"",J168&gt;=100,K168&lt;&gt;"",K168&lt;0.02),"제목·메타설명 수정",IF(AND(I168&lt;&gt;"",I168&gt;=8,I168&lt;=20),"본문 보강(표·FAQ·경험)",IF(AND(G168&lt;&gt;"",COUNT($G$2:$G$300)&gt;=5,G168&lt;=PERCENTILE($G$2:$G$300,0.3)),"하위30%: 제목·첫문단 수정","유지"))))</f>
        <v/>
      </c>
    </row>
    <row r="169">
      <c r="A169" s="27" t="n"/>
      <c r="B169" s="28" t="n"/>
      <c r="C169" s="28" t="n"/>
      <c r="D169" s="28" t="n"/>
      <c r="E169" s="28" t="n"/>
      <c r="F169" s="28" t="n"/>
      <c r="G169" s="29" t="n"/>
      <c r="H169" s="29" t="n"/>
      <c r="I169" s="28" t="n"/>
      <c r="J169" s="28" t="n"/>
      <c r="K169" s="30" t="n"/>
      <c r="L169" s="28" t="n"/>
      <c r="M169" s="27" t="n"/>
      <c r="N169" s="2">
        <f>IF(D169="","",IF(AND(J169&lt;&gt;"",J169&gt;=100,K169&lt;&gt;"",K169&lt;0.02),"제목·메타설명 수정",IF(AND(I169&lt;&gt;"",I169&gt;=8,I169&lt;=20),"본문 보강(표·FAQ·경험)",IF(AND(G169&lt;&gt;"",COUNT($G$2:$G$300)&gt;=5,G169&lt;=PERCENTILE($G$2:$G$300,0.3)),"하위30%: 제목·첫문단 수정","유지"))))</f>
        <v/>
      </c>
    </row>
    <row r="170">
      <c r="A170" s="27" t="n"/>
      <c r="B170" s="28" t="n"/>
      <c r="C170" s="28" t="n"/>
      <c r="D170" s="28" t="n"/>
      <c r="E170" s="28" t="n"/>
      <c r="F170" s="28" t="n"/>
      <c r="G170" s="29" t="n"/>
      <c r="H170" s="29" t="n"/>
      <c r="I170" s="28" t="n"/>
      <c r="J170" s="28" t="n"/>
      <c r="K170" s="30" t="n"/>
      <c r="L170" s="28" t="n"/>
      <c r="M170" s="27" t="n"/>
      <c r="N170" s="2">
        <f>IF(D170="","",IF(AND(J170&lt;&gt;"",J170&gt;=100,K170&lt;&gt;"",K170&lt;0.02),"제목·메타설명 수정",IF(AND(I170&lt;&gt;"",I170&gt;=8,I170&lt;=20),"본문 보강(표·FAQ·경험)",IF(AND(G170&lt;&gt;"",COUNT($G$2:$G$300)&gt;=5,G170&lt;=PERCENTILE($G$2:$G$300,0.3)),"하위30%: 제목·첫문단 수정","유지"))))</f>
        <v/>
      </c>
    </row>
    <row r="171">
      <c r="A171" s="27" t="n"/>
      <c r="B171" s="28" t="n"/>
      <c r="C171" s="28" t="n"/>
      <c r="D171" s="28" t="n"/>
      <c r="E171" s="28" t="n"/>
      <c r="F171" s="28" t="n"/>
      <c r="G171" s="29" t="n"/>
      <c r="H171" s="29" t="n"/>
      <c r="I171" s="28" t="n"/>
      <c r="J171" s="28" t="n"/>
      <c r="K171" s="30" t="n"/>
      <c r="L171" s="28" t="n"/>
      <c r="M171" s="27" t="n"/>
      <c r="N171" s="2">
        <f>IF(D171="","",IF(AND(J171&lt;&gt;"",J171&gt;=100,K171&lt;&gt;"",K171&lt;0.02),"제목·메타설명 수정",IF(AND(I171&lt;&gt;"",I171&gt;=8,I171&lt;=20),"본문 보강(표·FAQ·경험)",IF(AND(G171&lt;&gt;"",COUNT($G$2:$G$300)&gt;=5,G171&lt;=PERCENTILE($G$2:$G$300,0.3)),"하위30%: 제목·첫문단 수정","유지"))))</f>
        <v/>
      </c>
    </row>
    <row r="172">
      <c r="A172" s="27" t="n"/>
      <c r="B172" s="28" t="n"/>
      <c r="C172" s="28" t="n"/>
      <c r="D172" s="28" t="n"/>
      <c r="E172" s="28" t="n"/>
      <c r="F172" s="28" t="n"/>
      <c r="G172" s="29" t="n"/>
      <c r="H172" s="29" t="n"/>
      <c r="I172" s="28" t="n"/>
      <c r="J172" s="28" t="n"/>
      <c r="K172" s="30" t="n"/>
      <c r="L172" s="28" t="n"/>
      <c r="M172" s="27" t="n"/>
      <c r="N172" s="2">
        <f>IF(D172="","",IF(AND(J172&lt;&gt;"",J172&gt;=100,K172&lt;&gt;"",K172&lt;0.02),"제목·메타설명 수정",IF(AND(I172&lt;&gt;"",I172&gt;=8,I172&lt;=20),"본문 보강(표·FAQ·경험)",IF(AND(G172&lt;&gt;"",COUNT($G$2:$G$300)&gt;=5,G172&lt;=PERCENTILE($G$2:$G$300,0.3)),"하위30%: 제목·첫문단 수정","유지"))))</f>
        <v/>
      </c>
    </row>
    <row r="173">
      <c r="A173" s="27" t="n"/>
      <c r="B173" s="28" t="n"/>
      <c r="C173" s="28" t="n"/>
      <c r="D173" s="28" t="n"/>
      <c r="E173" s="28" t="n"/>
      <c r="F173" s="28" t="n"/>
      <c r="G173" s="29" t="n"/>
      <c r="H173" s="29" t="n"/>
      <c r="I173" s="28" t="n"/>
      <c r="J173" s="28" t="n"/>
      <c r="K173" s="30" t="n"/>
      <c r="L173" s="28" t="n"/>
      <c r="M173" s="27" t="n"/>
      <c r="N173" s="2">
        <f>IF(D173="","",IF(AND(J173&lt;&gt;"",J173&gt;=100,K173&lt;&gt;"",K173&lt;0.02),"제목·메타설명 수정",IF(AND(I173&lt;&gt;"",I173&gt;=8,I173&lt;=20),"본문 보강(표·FAQ·경험)",IF(AND(G173&lt;&gt;"",COUNT($G$2:$G$300)&gt;=5,G173&lt;=PERCENTILE($G$2:$G$300,0.3)),"하위30%: 제목·첫문단 수정","유지"))))</f>
        <v/>
      </c>
    </row>
    <row r="174">
      <c r="A174" s="27" t="n"/>
      <c r="B174" s="28" t="n"/>
      <c r="C174" s="28" t="n"/>
      <c r="D174" s="28" t="n"/>
      <c r="E174" s="28" t="n"/>
      <c r="F174" s="28" t="n"/>
      <c r="G174" s="29" t="n"/>
      <c r="H174" s="29" t="n"/>
      <c r="I174" s="28" t="n"/>
      <c r="J174" s="28" t="n"/>
      <c r="K174" s="30" t="n"/>
      <c r="L174" s="28" t="n"/>
      <c r="M174" s="27" t="n"/>
      <c r="N174" s="2">
        <f>IF(D174="","",IF(AND(J174&lt;&gt;"",J174&gt;=100,K174&lt;&gt;"",K174&lt;0.02),"제목·메타설명 수정",IF(AND(I174&lt;&gt;"",I174&gt;=8,I174&lt;=20),"본문 보강(표·FAQ·경험)",IF(AND(G174&lt;&gt;"",COUNT($G$2:$G$300)&gt;=5,G174&lt;=PERCENTILE($G$2:$G$300,0.3)),"하위30%: 제목·첫문단 수정","유지"))))</f>
        <v/>
      </c>
    </row>
    <row r="175">
      <c r="A175" s="27" t="n"/>
      <c r="B175" s="28" t="n"/>
      <c r="C175" s="28" t="n"/>
      <c r="D175" s="28" t="n"/>
      <c r="E175" s="28" t="n"/>
      <c r="F175" s="28" t="n"/>
      <c r="G175" s="29" t="n"/>
      <c r="H175" s="29" t="n"/>
      <c r="I175" s="28" t="n"/>
      <c r="J175" s="28" t="n"/>
      <c r="K175" s="30" t="n"/>
      <c r="L175" s="28" t="n"/>
      <c r="M175" s="27" t="n"/>
      <c r="N175" s="2">
        <f>IF(D175="","",IF(AND(J175&lt;&gt;"",J175&gt;=100,K175&lt;&gt;"",K175&lt;0.02),"제목·메타설명 수정",IF(AND(I175&lt;&gt;"",I175&gt;=8,I175&lt;=20),"본문 보강(표·FAQ·경험)",IF(AND(G175&lt;&gt;"",COUNT($G$2:$G$300)&gt;=5,G175&lt;=PERCENTILE($G$2:$G$300,0.3)),"하위30%: 제목·첫문단 수정","유지"))))</f>
        <v/>
      </c>
    </row>
    <row r="176">
      <c r="A176" s="27" t="n"/>
      <c r="B176" s="28" t="n"/>
      <c r="C176" s="28" t="n"/>
      <c r="D176" s="28" t="n"/>
      <c r="E176" s="28" t="n"/>
      <c r="F176" s="28" t="n"/>
      <c r="G176" s="29" t="n"/>
      <c r="H176" s="29" t="n"/>
      <c r="I176" s="28" t="n"/>
      <c r="J176" s="28" t="n"/>
      <c r="K176" s="30" t="n"/>
      <c r="L176" s="28" t="n"/>
      <c r="M176" s="27" t="n"/>
      <c r="N176" s="2">
        <f>IF(D176="","",IF(AND(J176&lt;&gt;"",J176&gt;=100,K176&lt;&gt;"",K176&lt;0.02),"제목·메타설명 수정",IF(AND(I176&lt;&gt;"",I176&gt;=8,I176&lt;=20),"본문 보강(표·FAQ·경험)",IF(AND(G176&lt;&gt;"",COUNT($G$2:$G$300)&gt;=5,G176&lt;=PERCENTILE($G$2:$G$300,0.3)),"하위30%: 제목·첫문단 수정","유지"))))</f>
        <v/>
      </c>
    </row>
    <row r="177">
      <c r="A177" s="27" t="n"/>
      <c r="B177" s="28" t="n"/>
      <c r="C177" s="28" t="n"/>
      <c r="D177" s="28" t="n"/>
      <c r="E177" s="28" t="n"/>
      <c r="F177" s="28" t="n"/>
      <c r="G177" s="29" t="n"/>
      <c r="H177" s="29" t="n"/>
      <c r="I177" s="28" t="n"/>
      <c r="J177" s="28" t="n"/>
      <c r="K177" s="30" t="n"/>
      <c r="L177" s="28" t="n"/>
      <c r="M177" s="27" t="n"/>
      <c r="N177" s="2">
        <f>IF(D177="","",IF(AND(J177&lt;&gt;"",J177&gt;=100,K177&lt;&gt;"",K177&lt;0.02),"제목·메타설명 수정",IF(AND(I177&lt;&gt;"",I177&gt;=8,I177&lt;=20),"본문 보강(표·FAQ·경험)",IF(AND(G177&lt;&gt;"",COUNT($G$2:$G$300)&gt;=5,G177&lt;=PERCENTILE($G$2:$G$300,0.3)),"하위30%: 제목·첫문단 수정","유지"))))</f>
        <v/>
      </c>
    </row>
    <row r="178">
      <c r="A178" s="27" t="n"/>
      <c r="B178" s="28" t="n"/>
      <c r="C178" s="28" t="n"/>
      <c r="D178" s="28" t="n"/>
      <c r="E178" s="28" t="n"/>
      <c r="F178" s="28" t="n"/>
      <c r="G178" s="29" t="n"/>
      <c r="H178" s="29" t="n"/>
      <c r="I178" s="28" t="n"/>
      <c r="J178" s="28" t="n"/>
      <c r="K178" s="30" t="n"/>
      <c r="L178" s="28" t="n"/>
      <c r="M178" s="27" t="n"/>
      <c r="N178" s="2">
        <f>IF(D178="","",IF(AND(J178&lt;&gt;"",J178&gt;=100,K178&lt;&gt;"",K178&lt;0.02),"제목·메타설명 수정",IF(AND(I178&lt;&gt;"",I178&gt;=8,I178&lt;=20),"본문 보강(표·FAQ·경험)",IF(AND(G178&lt;&gt;"",COUNT($G$2:$G$300)&gt;=5,G178&lt;=PERCENTILE($G$2:$G$300,0.3)),"하위30%: 제목·첫문단 수정","유지"))))</f>
        <v/>
      </c>
    </row>
    <row r="179">
      <c r="A179" s="27" t="n"/>
      <c r="B179" s="28" t="n"/>
      <c r="C179" s="28" t="n"/>
      <c r="D179" s="28" t="n"/>
      <c r="E179" s="28" t="n"/>
      <c r="F179" s="28" t="n"/>
      <c r="G179" s="29" t="n"/>
      <c r="H179" s="29" t="n"/>
      <c r="I179" s="28" t="n"/>
      <c r="J179" s="28" t="n"/>
      <c r="K179" s="30" t="n"/>
      <c r="L179" s="28" t="n"/>
      <c r="M179" s="27" t="n"/>
      <c r="N179" s="2">
        <f>IF(D179="","",IF(AND(J179&lt;&gt;"",J179&gt;=100,K179&lt;&gt;"",K179&lt;0.02),"제목·메타설명 수정",IF(AND(I179&lt;&gt;"",I179&gt;=8,I179&lt;=20),"본문 보강(표·FAQ·경험)",IF(AND(G179&lt;&gt;"",COUNT($G$2:$G$300)&gt;=5,G179&lt;=PERCENTILE($G$2:$G$300,0.3)),"하위30%: 제목·첫문단 수정","유지"))))</f>
        <v/>
      </c>
    </row>
    <row r="180">
      <c r="A180" s="27" t="n"/>
      <c r="B180" s="28" t="n"/>
      <c r="C180" s="28" t="n"/>
      <c r="D180" s="28" t="n"/>
      <c r="E180" s="28" t="n"/>
      <c r="F180" s="28" t="n"/>
      <c r="G180" s="29" t="n"/>
      <c r="H180" s="29" t="n"/>
      <c r="I180" s="28" t="n"/>
      <c r="J180" s="28" t="n"/>
      <c r="K180" s="30" t="n"/>
      <c r="L180" s="28" t="n"/>
      <c r="M180" s="27" t="n"/>
      <c r="N180" s="2">
        <f>IF(D180="","",IF(AND(J180&lt;&gt;"",J180&gt;=100,K180&lt;&gt;"",K180&lt;0.02),"제목·메타설명 수정",IF(AND(I180&lt;&gt;"",I180&gt;=8,I180&lt;=20),"본문 보강(표·FAQ·경험)",IF(AND(G180&lt;&gt;"",COUNT($G$2:$G$300)&gt;=5,G180&lt;=PERCENTILE($G$2:$G$300,0.3)),"하위30%: 제목·첫문단 수정","유지"))))</f>
        <v/>
      </c>
    </row>
    <row r="181">
      <c r="A181" s="27" t="n"/>
      <c r="B181" s="28" t="n"/>
      <c r="C181" s="28" t="n"/>
      <c r="D181" s="28" t="n"/>
      <c r="E181" s="28" t="n"/>
      <c r="F181" s="28" t="n"/>
      <c r="G181" s="29" t="n"/>
      <c r="H181" s="29" t="n"/>
      <c r="I181" s="28" t="n"/>
      <c r="J181" s="28" t="n"/>
      <c r="K181" s="30" t="n"/>
      <c r="L181" s="28" t="n"/>
      <c r="M181" s="27" t="n"/>
      <c r="N181" s="2">
        <f>IF(D181="","",IF(AND(J181&lt;&gt;"",J181&gt;=100,K181&lt;&gt;"",K181&lt;0.02),"제목·메타설명 수정",IF(AND(I181&lt;&gt;"",I181&gt;=8,I181&lt;=20),"본문 보강(표·FAQ·경험)",IF(AND(G181&lt;&gt;"",COUNT($G$2:$G$300)&gt;=5,G181&lt;=PERCENTILE($G$2:$G$300,0.3)),"하위30%: 제목·첫문단 수정","유지"))))</f>
        <v/>
      </c>
    </row>
    <row r="182">
      <c r="A182" s="27" t="n"/>
      <c r="B182" s="28" t="n"/>
      <c r="C182" s="28" t="n"/>
      <c r="D182" s="28" t="n"/>
      <c r="E182" s="28" t="n"/>
      <c r="F182" s="28" t="n"/>
      <c r="G182" s="29" t="n"/>
      <c r="H182" s="29" t="n"/>
      <c r="I182" s="28" t="n"/>
      <c r="J182" s="28" t="n"/>
      <c r="K182" s="30" t="n"/>
      <c r="L182" s="28" t="n"/>
      <c r="M182" s="27" t="n"/>
      <c r="N182" s="2">
        <f>IF(D182="","",IF(AND(J182&lt;&gt;"",J182&gt;=100,K182&lt;&gt;"",K182&lt;0.02),"제목·메타설명 수정",IF(AND(I182&lt;&gt;"",I182&gt;=8,I182&lt;=20),"본문 보강(표·FAQ·경험)",IF(AND(G182&lt;&gt;"",COUNT($G$2:$G$300)&gt;=5,G182&lt;=PERCENTILE($G$2:$G$300,0.3)),"하위30%: 제목·첫문단 수정","유지"))))</f>
        <v/>
      </c>
    </row>
    <row r="183">
      <c r="A183" s="27" t="n"/>
      <c r="B183" s="28" t="n"/>
      <c r="C183" s="28" t="n"/>
      <c r="D183" s="28" t="n"/>
      <c r="E183" s="28" t="n"/>
      <c r="F183" s="28" t="n"/>
      <c r="G183" s="29" t="n"/>
      <c r="H183" s="29" t="n"/>
      <c r="I183" s="28" t="n"/>
      <c r="J183" s="28" t="n"/>
      <c r="K183" s="30" t="n"/>
      <c r="L183" s="28" t="n"/>
      <c r="M183" s="27" t="n"/>
      <c r="N183" s="2">
        <f>IF(D183="","",IF(AND(J183&lt;&gt;"",J183&gt;=100,K183&lt;&gt;"",K183&lt;0.02),"제목·메타설명 수정",IF(AND(I183&lt;&gt;"",I183&gt;=8,I183&lt;=20),"본문 보강(표·FAQ·경험)",IF(AND(G183&lt;&gt;"",COUNT($G$2:$G$300)&gt;=5,G183&lt;=PERCENTILE($G$2:$G$300,0.3)),"하위30%: 제목·첫문단 수정","유지"))))</f>
        <v/>
      </c>
    </row>
    <row r="184">
      <c r="A184" s="27" t="n"/>
      <c r="B184" s="28" t="n"/>
      <c r="C184" s="28" t="n"/>
      <c r="D184" s="28" t="n"/>
      <c r="E184" s="28" t="n"/>
      <c r="F184" s="28" t="n"/>
      <c r="G184" s="29" t="n"/>
      <c r="H184" s="29" t="n"/>
      <c r="I184" s="28" t="n"/>
      <c r="J184" s="28" t="n"/>
      <c r="K184" s="30" t="n"/>
      <c r="L184" s="28" t="n"/>
      <c r="M184" s="27" t="n"/>
      <c r="N184" s="2">
        <f>IF(D184="","",IF(AND(J184&lt;&gt;"",J184&gt;=100,K184&lt;&gt;"",K184&lt;0.02),"제목·메타설명 수정",IF(AND(I184&lt;&gt;"",I184&gt;=8,I184&lt;=20),"본문 보강(표·FAQ·경험)",IF(AND(G184&lt;&gt;"",COUNT($G$2:$G$300)&gt;=5,G184&lt;=PERCENTILE($G$2:$G$300,0.3)),"하위30%: 제목·첫문단 수정","유지"))))</f>
        <v/>
      </c>
    </row>
    <row r="185">
      <c r="A185" s="27" t="n"/>
      <c r="B185" s="28" t="n"/>
      <c r="C185" s="28" t="n"/>
      <c r="D185" s="28" t="n"/>
      <c r="E185" s="28" t="n"/>
      <c r="F185" s="28" t="n"/>
      <c r="G185" s="29" t="n"/>
      <c r="H185" s="29" t="n"/>
      <c r="I185" s="28" t="n"/>
      <c r="J185" s="28" t="n"/>
      <c r="K185" s="30" t="n"/>
      <c r="L185" s="28" t="n"/>
      <c r="M185" s="27" t="n"/>
      <c r="N185" s="2">
        <f>IF(D185="","",IF(AND(J185&lt;&gt;"",J185&gt;=100,K185&lt;&gt;"",K185&lt;0.02),"제목·메타설명 수정",IF(AND(I185&lt;&gt;"",I185&gt;=8,I185&lt;=20),"본문 보강(표·FAQ·경험)",IF(AND(G185&lt;&gt;"",COUNT($G$2:$G$300)&gt;=5,G185&lt;=PERCENTILE($G$2:$G$300,0.3)),"하위30%: 제목·첫문단 수정","유지"))))</f>
        <v/>
      </c>
    </row>
    <row r="186">
      <c r="A186" s="27" t="n"/>
      <c r="B186" s="28" t="n"/>
      <c r="C186" s="28" t="n"/>
      <c r="D186" s="28" t="n"/>
      <c r="E186" s="28" t="n"/>
      <c r="F186" s="28" t="n"/>
      <c r="G186" s="29" t="n"/>
      <c r="H186" s="29" t="n"/>
      <c r="I186" s="28" t="n"/>
      <c r="J186" s="28" t="n"/>
      <c r="K186" s="30" t="n"/>
      <c r="L186" s="28" t="n"/>
      <c r="M186" s="27" t="n"/>
      <c r="N186" s="2">
        <f>IF(D186="","",IF(AND(J186&lt;&gt;"",J186&gt;=100,K186&lt;&gt;"",K186&lt;0.02),"제목·메타설명 수정",IF(AND(I186&lt;&gt;"",I186&gt;=8,I186&lt;=20),"본문 보강(표·FAQ·경험)",IF(AND(G186&lt;&gt;"",COUNT($G$2:$G$300)&gt;=5,G186&lt;=PERCENTILE($G$2:$G$300,0.3)),"하위30%: 제목·첫문단 수정","유지"))))</f>
        <v/>
      </c>
    </row>
    <row r="187">
      <c r="A187" s="27" t="n"/>
      <c r="B187" s="28" t="n"/>
      <c r="C187" s="28" t="n"/>
      <c r="D187" s="28" t="n"/>
      <c r="E187" s="28" t="n"/>
      <c r="F187" s="28" t="n"/>
      <c r="G187" s="29" t="n"/>
      <c r="H187" s="29" t="n"/>
      <c r="I187" s="28" t="n"/>
      <c r="J187" s="28" t="n"/>
      <c r="K187" s="30" t="n"/>
      <c r="L187" s="28" t="n"/>
      <c r="M187" s="27" t="n"/>
      <c r="N187" s="2">
        <f>IF(D187="","",IF(AND(J187&lt;&gt;"",J187&gt;=100,K187&lt;&gt;"",K187&lt;0.02),"제목·메타설명 수정",IF(AND(I187&lt;&gt;"",I187&gt;=8,I187&lt;=20),"본문 보강(표·FAQ·경험)",IF(AND(G187&lt;&gt;"",COUNT($G$2:$G$300)&gt;=5,G187&lt;=PERCENTILE($G$2:$G$300,0.3)),"하위30%: 제목·첫문단 수정","유지"))))</f>
        <v/>
      </c>
    </row>
    <row r="188">
      <c r="A188" s="27" t="n"/>
      <c r="B188" s="28" t="n"/>
      <c r="C188" s="28" t="n"/>
      <c r="D188" s="28" t="n"/>
      <c r="E188" s="28" t="n"/>
      <c r="F188" s="28" t="n"/>
      <c r="G188" s="29" t="n"/>
      <c r="H188" s="29" t="n"/>
      <c r="I188" s="28" t="n"/>
      <c r="J188" s="28" t="n"/>
      <c r="K188" s="30" t="n"/>
      <c r="L188" s="28" t="n"/>
      <c r="M188" s="27" t="n"/>
      <c r="N188" s="2">
        <f>IF(D188="","",IF(AND(J188&lt;&gt;"",J188&gt;=100,K188&lt;&gt;"",K188&lt;0.02),"제목·메타설명 수정",IF(AND(I188&lt;&gt;"",I188&gt;=8,I188&lt;=20),"본문 보강(표·FAQ·경험)",IF(AND(G188&lt;&gt;"",COUNT($G$2:$G$300)&gt;=5,G188&lt;=PERCENTILE($G$2:$G$300,0.3)),"하위30%: 제목·첫문단 수정","유지"))))</f>
        <v/>
      </c>
    </row>
    <row r="189">
      <c r="A189" s="27" t="n"/>
      <c r="B189" s="28" t="n"/>
      <c r="C189" s="28" t="n"/>
      <c r="D189" s="28" t="n"/>
      <c r="E189" s="28" t="n"/>
      <c r="F189" s="28" t="n"/>
      <c r="G189" s="29" t="n"/>
      <c r="H189" s="29" t="n"/>
      <c r="I189" s="28" t="n"/>
      <c r="J189" s="28" t="n"/>
      <c r="K189" s="30" t="n"/>
      <c r="L189" s="28" t="n"/>
      <c r="M189" s="27" t="n"/>
      <c r="N189" s="2">
        <f>IF(D189="","",IF(AND(J189&lt;&gt;"",J189&gt;=100,K189&lt;&gt;"",K189&lt;0.02),"제목·메타설명 수정",IF(AND(I189&lt;&gt;"",I189&gt;=8,I189&lt;=20),"본문 보강(표·FAQ·경험)",IF(AND(G189&lt;&gt;"",COUNT($G$2:$G$300)&gt;=5,G189&lt;=PERCENTILE($G$2:$G$300,0.3)),"하위30%: 제목·첫문단 수정","유지"))))</f>
        <v/>
      </c>
    </row>
    <row r="190">
      <c r="A190" s="27" t="n"/>
      <c r="B190" s="28" t="n"/>
      <c r="C190" s="28" t="n"/>
      <c r="D190" s="28" t="n"/>
      <c r="E190" s="28" t="n"/>
      <c r="F190" s="28" t="n"/>
      <c r="G190" s="29" t="n"/>
      <c r="H190" s="29" t="n"/>
      <c r="I190" s="28" t="n"/>
      <c r="J190" s="28" t="n"/>
      <c r="K190" s="30" t="n"/>
      <c r="L190" s="28" t="n"/>
      <c r="M190" s="27" t="n"/>
      <c r="N190" s="2">
        <f>IF(D190="","",IF(AND(J190&lt;&gt;"",J190&gt;=100,K190&lt;&gt;"",K190&lt;0.02),"제목·메타설명 수정",IF(AND(I190&lt;&gt;"",I190&gt;=8,I190&lt;=20),"본문 보강(표·FAQ·경험)",IF(AND(G190&lt;&gt;"",COUNT($G$2:$G$300)&gt;=5,G190&lt;=PERCENTILE($G$2:$G$300,0.3)),"하위30%: 제목·첫문단 수정","유지"))))</f>
        <v/>
      </c>
    </row>
    <row r="191">
      <c r="A191" s="27" t="n"/>
      <c r="B191" s="28" t="n"/>
      <c r="C191" s="28" t="n"/>
      <c r="D191" s="28" t="n"/>
      <c r="E191" s="28" t="n"/>
      <c r="F191" s="28" t="n"/>
      <c r="G191" s="29" t="n"/>
      <c r="H191" s="29" t="n"/>
      <c r="I191" s="28" t="n"/>
      <c r="J191" s="28" t="n"/>
      <c r="K191" s="30" t="n"/>
      <c r="L191" s="28" t="n"/>
      <c r="M191" s="27" t="n"/>
      <c r="N191" s="2">
        <f>IF(D191="","",IF(AND(J191&lt;&gt;"",J191&gt;=100,K191&lt;&gt;"",K191&lt;0.02),"제목·메타설명 수정",IF(AND(I191&lt;&gt;"",I191&gt;=8,I191&lt;=20),"본문 보강(표·FAQ·경험)",IF(AND(G191&lt;&gt;"",COUNT($G$2:$G$300)&gt;=5,G191&lt;=PERCENTILE($G$2:$G$300,0.3)),"하위30%: 제목·첫문단 수정","유지"))))</f>
        <v/>
      </c>
    </row>
    <row r="192">
      <c r="A192" s="27" t="n"/>
      <c r="B192" s="28" t="n"/>
      <c r="C192" s="28" t="n"/>
      <c r="D192" s="28" t="n"/>
      <c r="E192" s="28" t="n"/>
      <c r="F192" s="28" t="n"/>
      <c r="G192" s="29" t="n"/>
      <c r="H192" s="29" t="n"/>
      <c r="I192" s="28" t="n"/>
      <c r="J192" s="28" t="n"/>
      <c r="K192" s="30" t="n"/>
      <c r="L192" s="28" t="n"/>
      <c r="M192" s="27" t="n"/>
      <c r="N192" s="2">
        <f>IF(D192="","",IF(AND(J192&lt;&gt;"",J192&gt;=100,K192&lt;&gt;"",K192&lt;0.02),"제목·메타설명 수정",IF(AND(I192&lt;&gt;"",I192&gt;=8,I192&lt;=20),"본문 보강(표·FAQ·경험)",IF(AND(G192&lt;&gt;"",COUNT($G$2:$G$300)&gt;=5,G192&lt;=PERCENTILE($G$2:$G$300,0.3)),"하위30%: 제목·첫문단 수정","유지"))))</f>
        <v/>
      </c>
    </row>
    <row r="193">
      <c r="A193" s="27" t="n"/>
      <c r="B193" s="28" t="n"/>
      <c r="C193" s="28" t="n"/>
      <c r="D193" s="28" t="n"/>
      <c r="E193" s="28" t="n"/>
      <c r="F193" s="28" t="n"/>
      <c r="G193" s="29" t="n"/>
      <c r="H193" s="29" t="n"/>
      <c r="I193" s="28" t="n"/>
      <c r="J193" s="28" t="n"/>
      <c r="K193" s="30" t="n"/>
      <c r="L193" s="28" t="n"/>
      <c r="M193" s="27" t="n"/>
      <c r="N193" s="2">
        <f>IF(D193="","",IF(AND(J193&lt;&gt;"",J193&gt;=100,K193&lt;&gt;"",K193&lt;0.02),"제목·메타설명 수정",IF(AND(I193&lt;&gt;"",I193&gt;=8,I193&lt;=20),"본문 보강(표·FAQ·경험)",IF(AND(G193&lt;&gt;"",COUNT($G$2:$G$300)&gt;=5,G193&lt;=PERCENTILE($G$2:$G$300,0.3)),"하위30%: 제목·첫문단 수정","유지"))))</f>
        <v/>
      </c>
    </row>
    <row r="194">
      <c r="A194" s="27" t="n"/>
      <c r="B194" s="28" t="n"/>
      <c r="C194" s="28" t="n"/>
      <c r="D194" s="28" t="n"/>
      <c r="E194" s="28" t="n"/>
      <c r="F194" s="28" t="n"/>
      <c r="G194" s="29" t="n"/>
      <c r="H194" s="29" t="n"/>
      <c r="I194" s="28" t="n"/>
      <c r="J194" s="28" t="n"/>
      <c r="K194" s="30" t="n"/>
      <c r="L194" s="28" t="n"/>
      <c r="M194" s="27" t="n"/>
      <c r="N194" s="2">
        <f>IF(D194="","",IF(AND(J194&lt;&gt;"",J194&gt;=100,K194&lt;&gt;"",K194&lt;0.02),"제목·메타설명 수정",IF(AND(I194&lt;&gt;"",I194&gt;=8,I194&lt;=20),"본문 보강(표·FAQ·경험)",IF(AND(G194&lt;&gt;"",COUNT($G$2:$G$300)&gt;=5,G194&lt;=PERCENTILE($G$2:$G$300,0.3)),"하위30%: 제목·첫문단 수정","유지"))))</f>
        <v/>
      </c>
    </row>
    <row r="195">
      <c r="A195" s="27" t="n"/>
      <c r="B195" s="28" t="n"/>
      <c r="C195" s="28" t="n"/>
      <c r="D195" s="28" t="n"/>
      <c r="E195" s="28" t="n"/>
      <c r="F195" s="28" t="n"/>
      <c r="G195" s="29" t="n"/>
      <c r="H195" s="29" t="n"/>
      <c r="I195" s="28" t="n"/>
      <c r="J195" s="28" t="n"/>
      <c r="K195" s="30" t="n"/>
      <c r="L195" s="28" t="n"/>
      <c r="M195" s="27" t="n"/>
      <c r="N195" s="2">
        <f>IF(D195="","",IF(AND(J195&lt;&gt;"",J195&gt;=100,K195&lt;&gt;"",K195&lt;0.02),"제목·메타설명 수정",IF(AND(I195&lt;&gt;"",I195&gt;=8,I195&lt;=20),"본문 보강(표·FAQ·경험)",IF(AND(G195&lt;&gt;"",COUNT($G$2:$G$300)&gt;=5,G195&lt;=PERCENTILE($G$2:$G$300,0.3)),"하위30%: 제목·첫문단 수정","유지"))))</f>
        <v/>
      </c>
    </row>
    <row r="196">
      <c r="A196" s="27" t="n"/>
      <c r="B196" s="28" t="n"/>
      <c r="C196" s="28" t="n"/>
      <c r="D196" s="28" t="n"/>
      <c r="E196" s="28" t="n"/>
      <c r="F196" s="28" t="n"/>
      <c r="G196" s="29" t="n"/>
      <c r="H196" s="29" t="n"/>
      <c r="I196" s="28" t="n"/>
      <c r="J196" s="28" t="n"/>
      <c r="K196" s="30" t="n"/>
      <c r="L196" s="28" t="n"/>
      <c r="M196" s="27" t="n"/>
      <c r="N196" s="2">
        <f>IF(D196="","",IF(AND(J196&lt;&gt;"",J196&gt;=100,K196&lt;&gt;"",K196&lt;0.02),"제목·메타설명 수정",IF(AND(I196&lt;&gt;"",I196&gt;=8,I196&lt;=20),"본문 보강(표·FAQ·경험)",IF(AND(G196&lt;&gt;"",COUNT($G$2:$G$300)&gt;=5,G196&lt;=PERCENTILE($G$2:$G$300,0.3)),"하위30%: 제목·첫문단 수정","유지"))))</f>
        <v/>
      </c>
    </row>
    <row r="197">
      <c r="A197" s="27" t="n"/>
      <c r="B197" s="28" t="n"/>
      <c r="C197" s="28" t="n"/>
      <c r="D197" s="28" t="n"/>
      <c r="E197" s="28" t="n"/>
      <c r="F197" s="28" t="n"/>
      <c r="G197" s="29" t="n"/>
      <c r="H197" s="29" t="n"/>
      <c r="I197" s="28" t="n"/>
      <c r="J197" s="28" t="n"/>
      <c r="K197" s="30" t="n"/>
      <c r="L197" s="28" t="n"/>
      <c r="M197" s="27" t="n"/>
      <c r="N197" s="2">
        <f>IF(D197="","",IF(AND(J197&lt;&gt;"",J197&gt;=100,K197&lt;&gt;"",K197&lt;0.02),"제목·메타설명 수정",IF(AND(I197&lt;&gt;"",I197&gt;=8,I197&lt;=20),"본문 보강(표·FAQ·경험)",IF(AND(G197&lt;&gt;"",COUNT($G$2:$G$300)&gt;=5,G197&lt;=PERCENTILE($G$2:$G$300,0.3)),"하위30%: 제목·첫문단 수정","유지"))))</f>
        <v/>
      </c>
    </row>
    <row r="198">
      <c r="A198" s="27" t="n"/>
      <c r="B198" s="28" t="n"/>
      <c r="C198" s="28" t="n"/>
      <c r="D198" s="28" t="n"/>
      <c r="E198" s="28" t="n"/>
      <c r="F198" s="28" t="n"/>
      <c r="G198" s="29" t="n"/>
      <c r="H198" s="29" t="n"/>
      <c r="I198" s="28" t="n"/>
      <c r="J198" s="28" t="n"/>
      <c r="K198" s="30" t="n"/>
      <c r="L198" s="28" t="n"/>
      <c r="M198" s="27" t="n"/>
      <c r="N198" s="2">
        <f>IF(D198="","",IF(AND(J198&lt;&gt;"",J198&gt;=100,K198&lt;&gt;"",K198&lt;0.02),"제목·메타설명 수정",IF(AND(I198&lt;&gt;"",I198&gt;=8,I198&lt;=20),"본문 보강(표·FAQ·경험)",IF(AND(G198&lt;&gt;"",COUNT($G$2:$G$300)&gt;=5,G198&lt;=PERCENTILE($G$2:$G$300,0.3)),"하위30%: 제목·첫문단 수정","유지"))))</f>
        <v/>
      </c>
    </row>
    <row r="199">
      <c r="A199" s="27" t="n"/>
      <c r="B199" s="28" t="n"/>
      <c r="C199" s="28" t="n"/>
      <c r="D199" s="28" t="n"/>
      <c r="E199" s="28" t="n"/>
      <c r="F199" s="28" t="n"/>
      <c r="G199" s="29" t="n"/>
      <c r="H199" s="29" t="n"/>
      <c r="I199" s="28" t="n"/>
      <c r="J199" s="28" t="n"/>
      <c r="K199" s="30" t="n"/>
      <c r="L199" s="28" t="n"/>
      <c r="M199" s="27" t="n"/>
      <c r="N199" s="2">
        <f>IF(D199="","",IF(AND(J199&lt;&gt;"",J199&gt;=100,K199&lt;&gt;"",K199&lt;0.02),"제목·메타설명 수정",IF(AND(I199&lt;&gt;"",I199&gt;=8,I199&lt;=20),"본문 보강(표·FAQ·경험)",IF(AND(G199&lt;&gt;"",COUNT($G$2:$G$300)&gt;=5,G199&lt;=PERCENTILE($G$2:$G$300,0.3)),"하위30%: 제목·첫문단 수정","유지"))))</f>
        <v/>
      </c>
    </row>
    <row r="200">
      <c r="A200" s="27" t="n"/>
      <c r="B200" s="28" t="n"/>
      <c r="C200" s="28" t="n"/>
      <c r="D200" s="28" t="n"/>
      <c r="E200" s="28" t="n"/>
      <c r="F200" s="28" t="n"/>
      <c r="G200" s="29" t="n"/>
      <c r="H200" s="29" t="n"/>
      <c r="I200" s="28" t="n"/>
      <c r="J200" s="28" t="n"/>
      <c r="K200" s="30" t="n"/>
      <c r="L200" s="28" t="n"/>
      <c r="M200" s="27" t="n"/>
      <c r="N200" s="2">
        <f>IF(D200="","",IF(AND(J200&lt;&gt;"",J200&gt;=100,K200&lt;&gt;"",K200&lt;0.02),"제목·메타설명 수정",IF(AND(I200&lt;&gt;"",I200&gt;=8,I200&lt;=20),"본문 보강(표·FAQ·경험)",IF(AND(G200&lt;&gt;"",COUNT($G$2:$G$300)&gt;=5,G200&lt;=PERCENTILE($G$2:$G$300,0.3)),"하위30%: 제목·첫문단 수정","유지"))))</f>
        <v/>
      </c>
    </row>
    <row r="201">
      <c r="A201" s="27" t="n"/>
      <c r="B201" s="28" t="n"/>
      <c r="C201" s="28" t="n"/>
      <c r="D201" s="28" t="n"/>
      <c r="E201" s="28" t="n"/>
      <c r="F201" s="28" t="n"/>
      <c r="G201" s="29" t="n"/>
      <c r="H201" s="29" t="n"/>
      <c r="I201" s="28" t="n"/>
      <c r="J201" s="28" t="n"/>
      <c r="K201" s="30" t="n"/>
      <c r="L201" s="28" t="n"/>
      <c r="M201" s="27" t="n"/>
      <c r="N201" s="2">
        <f>IF(D201="","",IF(AND(J201&lt;&gt;"",J201&gt;=100,K201&lt;&gt;"",K201&lt;0.02),"제목·메타설명 수정",IF(AND(I201&lt;&gt;"",I201&gt;=8,I201&lt;=20),"본문 보강(표·FAQ·경험)",IF(AND(G201&lt;&gt;"",COUNT($G$2:$G$300)&gt;=5,G201&lt;=PERCENTILE($G$2:$G$300,0.3)),"하위30%: 제목·첫문단 수정","유지"))))</f>
        <v/>
      </c>
    </row>
    <row r="202">
      <c r="A202" s="27" t="n"/>
      <c r="B202" s="28" t="n"/>
      <c r="C202" s="28" t="n"/>
      <c r="D202" s="28" t="n"/>
      <c r="E202" s="28" t="n"/>
      <c r="F202" s="28" t="n"/>
      <c r="G202" s="29" t="n"/>
      <c r="H202" s="29" t="n"/>
      <c r="I202" s="28" t="n"/>
      <c r="J202" s="28" t="n"/>
      <c r="K202" s="30" t="n"/>
      <c r="L202" s="28" t="n"/>
      <c r="M202" s="27" t="n"/>
      <c r="N202" s="2">
        <f>IF(D202="","",IF(AND(J202&lt;&gt;"",J202&gt;=100,K202&lt;&gt;"",K202&lt;0.02),"제목·메타설명 수정",IF(AND(I202&lt;&gt;"",I202&gt;=8,I202&lt;=20),"본문 보강(표·FAQ·경험)",IF(AND(G202&lt;&gt;"",COUNT($G$2:$G$300)&gt;=5,G202&lt;=PERCENTILE($G$2:$G$300,0.3)),"하위30%: 제목·첫문단 수정","유지"))))</f>
        <v/>
      </c>
    </row>
    <row r="203">
      <c r="A203" s="27" t="n"/>
      <c r="B203" s="28" t="n"/>
      <c r="C203" s="28" t="n"/>
      <c r="D203" s="28" t="n"/>
      <c r="E203" s="28" t="n"/>
      <c r="F203" s="28" t="n"/>
      <c r="G203" s="29" t="n"/>
      <c r="H203" s="29" t="n"/>
      <c r="I203" s="28" t="n"/>
      <c r="J203" s="28" t="n"/>
      <c r="K203" s="30" t="n"/>
      <c r="L203" s="28" t="n"/>
      <c r="M203" s="27" t="n"/>
      <c r="N203" s="2">
        <f>IF(D203="","",IF(AND(J203&lt;&gt;"",J203&gt;=100,K203&lt;&gt;"",K203&lt;0.02),"제목·메타설명 수정",IF(AND(I203&lt;&gt;"",I203&gt;=8,I203&lt;=20),"본문 보강(표·FAQ·경험)",IF(AND(G203&lt;&gt;"",COUNT($G$2:$G$300)&gt;=5,G203&lt;=PERCENTILE($G$2:$G$300,0.3)),"하위30%: 제목·첫문단 수정","유지"))))</f>
        <v/>
      </c>
    </row>
    <row r="204">
      <c r="A204" s="27" t="n"/>
      <c r="B204" s="28" t="n"/>
      <c r="C204" s="28" t="n"/>
      <c r="D204" s="28" t="n"/>
      <c r="E204" s="28" t="n"/>
      <c r="F204" s="28" t="n"/>
      <c r="G204" s="29" t="n"/>
      <c r="H204" s="29" t="n"/>
      <c r="I204" s="28" t="n"/>
      <c r="J204" s="28" t="n"/>
      <c r="K204" s="30" t="n"/>
      <c r="L204" s="28" t="n"/>
      <c r="M204" s="27" t="n"/>
      <c r="N204" s="2">
        <f>IF(D204="","",IF(AND(J204&lt;&gt;"",J204&gt;=100,K204&lt;&gt;"",K204&lt;0.02),"제목·메타설명 수정",IF(AND(I204&lt;&gt;"",I204&gt;=8,I204&lt;=20),"본문 보강(표·FAQ·경험)",IF(AND(G204&lt;&gt;"",COUNT($G$2:$G$300)&gt;=5,G204&lt;=PERCENTILE($G$2:$G$300,0.3)),"하위30%: 제목·첫문단 수정","유지"))))</f>
        <v/>
      </c>
    </row>
    <row r="205">
      <c r="A205" s="27" t="n"/>
      <c r="B205" s="28" t="n"/>
      <c r="C205" s="28" t="n"/>
      <c r="D205" s="28" t="n"/>
      <c r="E205" s="28" t="n"/>
      <c r="F205" s="28" t="n"/>
      <c r="G205" s="29" t="n"/>
      <c r="H205" s="29" t="n"/>
      <c r="I205" s="28" t="n"/>
      <c r="J205" s="28" t="n"/>
      <c r="K205" s="30" t="n"/>
      <c r="L205" s="28" t="n"/>
      <c r="M205" s="27" t="n"/>
      <c r="N205" s="2">
        <f>IF(D205="","",IF(AND(J205&lt;&gt;"",J205&gt;=100,K205&lt;&gt;"",K205&lt;0.02),"제목·메타설명 수정",IF(AND(I205&lt;&gt;"",I205&gt;=8,I205&lt;=20),"본문 보강(표·FAQ·경험)",IF(AND(G205&lt;&gt;"",COUNT($G$2:$G$300)&gt;=5,G205&lt;=PERCENTILE($G$2:$G$300,0.3)),"하위30%: 제목·첫문단 수정","유지"))))</f>
        <v/>
      </c>
    </row>
    <row r="206">
      <c r="A206" s="27" t="n"/>
      <c r="B206" s="28" t="n"/>
      <c r="C206" s="28" t="n"/>
      <c r="D206" s="28" t="n"/>
      <c r="E206" s="28" t="n"/>
      <c r="F206" s="28" t="n"/>
      <c r="G206" s="29" t="n"/>
      <c r="H206" s="29" t="n"/>
      <c r="I206" s="28" t="n"/>
      <c r="J206" s="28" t="n"/>
      <c r="K206" s="30" t="n"/>
      <c r="L206" s="28" t="n"/>
      <c r="M206" s="27" t="n"/>
      <c r="N206" s="2">
        <f>IF(D206="","",IF(AND(J206&lt;&gt;"",J206&gt;=100,K206&lt;&gt;"",K206&lt;0.02),"제목·메타설명 수정",IF(AND(I206&lt;&gt;"",I206&gt;=8,I206&lt;=20),"본문 보강(표·FAQ·경험)",IF(AND(G206&lt;&gt;"",COUNT($G$2:$G$300)&gt;=5,G206&lt;=PERCENTILE($G$2:$G$300,0.3)),"하위30%: 제목·첫문단 수정","유지"))))</f>
        <v/>
      </c>
    </row>
    <row r="207">
      <c r="A207" s="27" t="n"/>
      <c r="B207" s="28" t="n"/>
      <c r="C207" s="28" t="n"/>
      <c r="D207" s="28" t="n"/>
      <c r="E207" s="28" t="n"/>
      <c r="F207" s="28" t="n"/>
      <c r="G207" s="29" t="n"/>
      <c r="H207" s="29" t="n"/>
      <c r="I207" s="28" t="n"/>
      <c r="J207" s="28" t="n"/>
      <c r="K207" s="30" t="n"/>
      <c r="L207" s="28" t="n"/>
      <c r="M207" s="27" t="n"/>
      <c r="N207" s="2">
        <f>IF(D207="","",IF(AND(J207&lt;&gt;"",J207&gt;=100,K207&lt;&gt;"",K207&lt;0.02),"제목·메타설명 수정",IF(AND(I207&lt;&gt;"",I207&gt;=8,I207&lt;=20),"본문 보강(표·FAQ·경험)",IF(AND(G207&lt;&gt;"",COUNT($G$2:$G$300)&gt;=5,G207&lt;=PERCENTILE($G$2:$G$300,0.3)),"하위30%: 제목·첫문단 수정","유지"))))</f>
        <v/>
      </c>
    </row>
    <row r="208">
      <c r="A208" s="27" t="n"/>
      <c r="B208" s="28" t="n"/>
      <c r="C208" s="28" t="n"/>
      <c r="D208" s="28" t="n"/>
      <c r="E208" s="28" t="n"/>
      <c r="F208" s="28" t="n"/>
      <c r="G208" s="29" t="n"/>
      <c r="H208" s="29" t="n"/>
      <c r="I208" s="28" t="n"/>
      <c r="J208" s="28" t="n"/>
      <c r="K208" s="30" t="n"/>
      <c r="L208" s="28" t="n"/>
      <c r="M208" s="27" t="n"/>
      <c r="N208" s="2">
        <f>IF(D208="","",IF(AND(J208&lt;&gt;"",J208&gt;=100,K208&lt;&gt;"",K208&lt;0.02),"제목·메타설명 수정",IF(AND(I208&lt;&gt;"",I208&gt;=8,I208&lt;=20),"본문 보강(표·FAQ·경험)",IF(AND(G208&lt;&gt;"",COUNT($G$2:$G$300)&gt;=5,G208&lt;=PERCENTILE($G$2:$G$300,0.3)),"하위30%: 제목·첫문단 수정","유지"))))</f>
        <v/>
      </c>
    </row>
    <row r="209">
      <c r="A209" s="27" t="n"/>
      <c r="B209" s="28" t="n"/>
      <c r="C209" s="28" t="n"/>
      <c r="D209" s="28" t="n"/>
      <c r="E209" s="28" t="n"/>
      <c r="F209" s="28" t="n"/>
      <c r="G209" s="29" t="n"/>
      <c r="H209" s="29" t="n"/>
      <c r="I209" s="28" t="n"/>
      <c r="J209" s="28" t="n"/>
      <c r="K209" s="30" t="n"/>
      <c r="L209" s="28" t="n"/>
      <c r="M209" s="27" t="n"/>
      <c r="N209" s="2">
        <f>IF(D209="","",IF(AND(J209&lt;&gt;"",J209&gt;=100,K209&lt;&gt;"",K209&lt;0.02),"제목·메타설명 수정",IF(AND(I209&lt;&gt;"",I209&gt;=8,I209&lt;=20),"본문 보강(표·FAQ·경험)",IF(AND(G209&lt;&gt;"",COUNT($G$2:$G$300)&gt;=5,G209&lt;=PERCENTILE($G$2:$G$300,0.3)),"하위30%: 제목·첫문단 수정","유지"))))</f>
        <v/>
      </c>
    </row>
    <row r="210">
      <c r="A210" s="27" t="n"/>
      <c r="B210" s="28" t="n"/>
      <c r="C210" s="28" t="n"/>
      <c r="D210" s="28" t="n"/>
      <c r="E210" s="28" t="n"/>
      <c r="F210" s="28" t="n"/>
      <c r="G210" s="29" t="n"/>
      <c r="H210" s="29" t="n"/>
      <c r="I210" s="28" t="n"/>
      <c r="J210" s="28" t="n"/>
      <c r="K210" s="30" t="n"/>
      <c r="L210" s="28" t="n"/>
      <c r="M210" s="27" t="n"/>
      <c r="N210" s="2">
        <f>IF(D210="","",IF(AND(J210&lt;&gt;"",J210&gt;=100,K210&lt;&gt;"",K210&lt;0.02),"제목·메타설명 수정",IF(AND(I210&lt;&gt;"",I210&gt;=8,I210&lt;=20),"본문 보강(표·FAQ·경험)",IF(AND(G210&lt;&gt;"",COUNT($G$2:$G$300)&gt;=5,G210&lt;=PERCENTILE($G$2:$G$300,0.3)),"하위30%: 제목·첫문단 수정","유지"))))</f>
        <v/>
      </c>
    </row>
    <row r="211">
      <c r="A211" s="27" t="n"/>
      <c r="B211" s="28" t="n"/>
      <c r="C211" s="28" t="n"/>
      <c r="D211" s="28" t="n"/>
      <c r="E211" s="28" t="n"/>
      <c r="F211" s="28" t="n"/>
      <c r="G211" s="29" t="n"/>
      <c r="H211" s="29" t="n"/>
      <c r="I211" s="28" t="n"/>
      <c r="J211" s="28" t="n"/>
      <c r="K211" s="30" t="n"/>
      <c r="L211" s="28" t="n"/>
      <c r="M211" s="27" t="n"/>
      <c r="N211" s="2">
        <f>IF(D211="","",IF(AND(J211&lt;&gt;"",J211&gt;=100,K211&lt;&gt;"",K211&lt;0.02),"제목·메타설명 수정",IF(AND(I211&lt;&gt;"",I211&gt;=8,I211&lt;=20),"본문 보강(표·FAQ·경험)",IF(AND(G211&lt;&gt;"",COUNT($G$2:$G$300)&gt;=5,G211&lt;=PERCENTILE($G$2:$G$300,0.3)),"하위30%: 제목·첫문단 수정","유지"))))</f>
        <v/>
      </c>
    </row>
    <row r="212">
      <c r="A212" s="27" t="n"/>
      <c r="B212" s="28" t="n"/>
      <c r="C212" s="28" t="n"/>
      <c r="D212" s="28" t="n"/>
      <c r="E212" s="28" t="n"/>
      <c r="F212" s="28" t="n"/>
      <c r="G212" s="29" t="n"/>
      <c r="H212" s="29" t="n"/>
      <c r="I212" s="28" t="n"/>
      <c r="J212" s="28" t="n"/>
      <c r="K212" s="30" t="n"/>
      <c r="L212" s="28" t="n"/>
      <c r="M212" s="27" t="n"/>
      <c r="N212" s="2">
        <f>IF(D212="","",IF(AND(J212&lt;&gt;"",J212&gt;=100,K212&lt;&gt;"",K212&lt;0.02),"제목·메타설명 수정",IF(AND(I212&lt;&gt;"",I212&gt;=8,I212&lt;=20),"본문 보강(표·FAQ·경험)",IF(AND(G212&lt;&gt;"",COUNT($G$2:$G$300)&gt;=5,G212&lt;=PERCENTILE($G$2:$G$300,0.3)),"하위30%: 제목·첫문단 수정","유지"))))</f>
        <v/>
      </c>
    </row>
    <row r="213">
      <c r="A213" s="27" t="n"/>
      <c r="B213" s="28" t="n"/>
      <c r="C213" s="28" t="n"/>
      <c r="D213" s="28" t="n"/>
      <c r="E213" s="28" t="n"/>
      <c r="F213" s="28" t="n"/>
      <c r="G213" s="29" t="n"/>
      <c r="H213" s="29" t="n"/>
      <c r="I213" s="28" t="n"/>
      <c r="J213" s="28" t="n"/>
      <c r="K213" s="30" t="n"/>
      <c r="L213" s="28" t="n"/>
      <c r="M213" s="27" t="n"/>
      <c r="N213" s="2">
        <f>IF(D213="","",IF(AND(J213&lt;&gt;"",J213&gt;=100,K213&lt;&gt;"",K213&lt;0.02),"제목·메타설명 수정",IF(AND(I213&lt;&gt;"",I213&gt;=8,I213&lt;=20),"본문 보강(표·FAQ·경험)",IF(AND(G213&lt;&gt;"",COUNT($G$2:$G$300)&gt;=5,G213&lt;=PERCENTILE($G$2:$G$300,0.3)),"하위30%: 제목·첫문단 수정","유지"))))</f>
        <v/>
      </c>
    </row>
    <row r="214">
      <c r="A214" s="27" t="n"/>
      <c r="B214" s="28" t="n"/>
      <c r="C214" s="28" t="n"/>
      <c r="D214" s="28" t="n"/>
      <c r="E214" s="28" t="n"/>
      <c r="F214" s="28" t="n"/>
      <c r="G214" s="29" t="n"/>
      <c r="H214" s="29" t="n"/>
      <c r="I214" s="28" t="n"/>
      <c r="J214" s="28" t="n"/>
      <c r="K214" s="30" t="n"/>
      <c r="L214" s="28" t="n"/>
      <c r="M214" s="27" t="n"/>
      <c r="N214" s="2">
        <f>IF(D214="","",IF(AND(J214&lt;&gt;"",J214&gt;=100,K214&lt;&gt;"",K214&lt;0.02),"제목·메타설명 수정",IF(AND(I214&lt;&gt;"",I214&gt;=8,I214&lt;=20),"본문 보강(표·FAQ·경험)",IF(AND(G214&lt;&gt;"",COUNT($G$2:$G$300)&gt;=5,G214&lt;=PERCENTILE($G$2:$G$300,0.3)),"하위30%: 제목·첫문단 수정","유지"))))</f>
        <v/>
      </c>
    </row>
    <row r="215">
      <c r="A215" s="27" t="n"/>
      <c r="B215" s="28" t="n"/>
      <c r="C215" s="28" t="n"/>
      <c r="D215" s="28" t="n"/>
      <c r="E215" s="28" t="n"/>
      <c r="F215" s="28" t="n"/>
      <c r="G215" s="29" t="n"/>
      <c r="H215" s="29" t="n"/>
      <c r="I215" s="28" t="n"/>
      <c r="J215" s="28" t="n"/>
      <c r="K215" s="30" t="n"/>
      <c r="L215" s="28" t="n"/>
      <c r="M215" s="27" t="n"/>
      <c r="N215" s="2">
        <f>IF(D215="","",IF(AND(J215&lt;&gt;"",J215&gt;=100,K215&lt;&gt;"",K215&lt;0.02),"제목·메타설명 수정",IF(AND(I215&lt;&gt;"",I215&gt;=8,I215&lt;=20),"본문 보강(표·FAQ·경험)",IF(AND(G215&lt;&gt;"",COUNT($G$2:$G$300)&gt;=5,G215&lt;=PERCENTILE($G$2:$G$300,0.3)),"하위30%: 제목·첫문단 수정","유지"))))</f>
        <v/>
      </c>
    </row>
    <row r="216">
      <c r="A216" s="27" t="n"/>
      <c r="B216" s="28" t="n"/>
      <c r="C216" s="28" t="n"/>
      <c r="D216" s="28" t="n"/>
      <c r="E216" s="28" t="n"/>
      <c r="F216" s="28" t="n"/>
      <c r="G216" s="29" t="n"/>
      <c r="H216" s="29" t="n"/>
      <c r="I216" s="28" t="n"/>
      <c r="J216" s="28" t="n"/>
      <c r="K216" s="30" t="n"/>
      <c r="L216" s="28" t="n"/>
      <c r="M216" s="27" t="n"/>
      <c r="N216" s="2">
        <f>IF(D216="","",IF(AND(J216&lt;&gt;"",J216&gt;=100,K216&lt;&gt;"",K216&lt;0.02),"제목·메타설명 수정",IF(AND(I216&lt;&gt;"",I216&gt;=8,I216&lt;=20),"본문 보강(표·FAQ·경험)",IF(AND(G216&lt;&gt;"",COUNT($G$2:$G$300)&gt;=5,G216&lt;=PERCENTILE($G$2:$G$300,0.3)),"하위30%: 제목·첫문단 수정","유지"))))</f>
        <v/>
      </c>
    </row>
    <row r="217">
      <c r="A217" s="27" t="n"/>
      <c r="B217" s="28" t="n"/>
      <c r="C217" s="28" t="n"/>
      <c r="D217" s="28" t="n"/>
      <c r="E217" s="28" t="n"/>
      <c r="F217" s="28" t="n"/>
      <c r="G217" s="29" t="n"/>
      <c r="H217" s="29" t="n"/>
      <c r="I217" s="28" t="n"/>
      <c r="J217" s="28" t="n"/>
      <c r="K217" s="30" t="n"/>
      <c r="L217" s="28" t="n"/>
      <c r="M217" s="27" t="n"/>
      <c r="N217" s="2">
        <f>IF(D217="","",IF(AND(J217&lt;&gt;"",J217&gt;=100,K217&lt;&gt;"",K217&lt;0.02),"제목·메타설명 수정",IF(AND(I217&lt;&gt;"",I217&gt;=8,I217&lt;=20),"본문 보강(표·FAQ·경험)",IF(AND(G217&lt;&gt;"",COUNT($G$2:$G$300)&gt;=5,G217&lt;=PERCENTILE($G$2:$G$300,0.3)),"하위30%: 제목·첫문단 수정","유지"))))</f>
        <v/>
      </c>
    </row>
    <row r="218">
      <c r="A218" s="27" t="n"/>
      <c r="B218" s="28" t="n"/>
      <c r="C218" s="28" t="n"/>
      <c r="D218" s="28" t="n"/>
      <c r="E218" s="28" t="n"/>
      <c r="F218" s="28" t="n"/>
      <c r="G218" s="29" t="n"/>
      <c r="H218" s="29" t="n"/>
      <c r="I218" s="28" t="n"/>
      <c r="J218" s="28" t="n"/>
      <c r="K218" s="30" t="n"/>
      <c r="L218" s="28" t="n"/>
      <c r="M218" s="27" t="n"/>
      <c r="N218" s="2">
        <f>IF(D218="","",IF(AND(J218&lt;&gt;"",J218&gt;=100,K218&lt;&gt;"",K218&lt;0.02),"제목·메타설명 수정",IF(AND(I218&lt;&gt;"",I218&gt;=8,I218&lt;=20),"본문 보강(표·FAQ·경험)",IF(AND(G218&lt;&gt;"",COUNT($G$2:$G$300)&gt;=5,G218&lt;=PERCENTILE($G$2:$G$300,0.3)),"하위30%: 제목·첫문단 수정","유지"))))</f>
        <v/>
      </c>
    </row>
    <row r="219">
      <c r="A219" s="27" t="n"/>
      <c r="B219" s="28" t="n"/>
      <c r="C219" s="28" t="n"/>
      <c r="D219" s="28" t="n"/>
      <c r="E219" s="28" t="n"/>
      <c r="F219" s="28" t="n"/>
      <c r="G219" s="29" t="n"/>
      <c r="H219" s="29" t="n"/>
      <c r="I219" s="28" t="n"/>
      <c r="J219" s="28" t="n"/>
      <c r="K219" s="30" t="n"/>
      <c r="L219" s="28" t="n"/>
      <c r="M219" s="27" t="n"/>
      <c r="N219" s="2">
        <f>IF(D219="","",IF(AND(J219&lt;&gt;"",J219&gt;=100,K219&lt;&gt;"",K219&lt;0.02),"제목·메타설명 수정",IF(AND(I219&lt;&gt;"",I219&gt;=8,I219&lt;=20),"본문 보강(표·FAQ·경험)",IF(AND(G219&lt;&gt;"",COUNT($G$2:$G$300)&gt;=5,G219&lt;=PERCENTILE($G$2:$G$300,0.3)),"하위30%: 제목·첫문단 수정","유지"))))</f>
        <v/>
      </c>
    </row>
    <row r="220">
      <c r="A220" s="27" t="n"/>
      <c r="B220" s="28" t="n"/>
      <c r="C220" s="28" t="n"/>
      <c r="D220" s="28" t="n"/>
      <c r="E220" s="28" t="n"/>
      <c r="F220" s="28" t="n"/>
      <c r="G220" s="29" t="n"/>
      <c r="H220" s="29" t="n"/>
      <c r="I220" s="28" t="n"/>
      <c r="J220" s="28" t="n"/>
      <c r="K220" s="30" t="n"/>
      <c r="L220" s="28" t="n"/>
      <c r="M220" s="27" t="n"/>
      <c r="N220" s="2">
        <f>IF(D220="","",IF(AND(J220&lt;&gt;"",J220&gt;=100,K220&lt;&gt;"",K220&lt;0.02),"제목·메타설명 수정",IF(AND(I220&lt;&gt;"",I220&gt;=8,I220&lt;=20),"본문 보강(표·FAQ·경험)",IF(AND(G220&lt;&gt;"",COUNT($G$2:$G$300)&gt;=5,G220&lt;=PERCENTILE($G$2:$G$300,0.3)),"하위30%: 제목·첫문단 수정","유지"))))</f>
        <v/>
      </c>
    </row>
    <row r="221">
      <c r="A221" s="27" t="n"/>
      <c r="B221" s="28" t="n"/>
      <c r="C221" s="28" t="n"/>
      <c r="D221" s="28" t="n"/>
      <c r="E221" s="28" t="n"/>
      <c r="F221" s="28" t="n"/>
      <c r="G221" s="29" t="n"/>
      <c r="H221" s="29" t="n"/>
      <c r="I221" s="28" t="n"/>
      <c r="J221" s="28" t="n"/>
      <c r="K221" s="30" t="n"/>
      <c r="L221" s="28" t="n"/>
      <c r="M221" s="27" t="n"/>
      <c r="N221" s="2">
        <f>IF(D221="","",IF(AND(J221&lt;&gt;"",J221&gt;=100,K221&lt;&gt;"",K221&lt;0.02),"제목·메타설명 수정",IF(AND(I221&lt;&gt;"",I221&gt;=8,I221&lt;=20),"본문 보강(표·FAQ·경험)",IF(AND(G221&lt;&gt;"",COUNT($G$2:$G$300)&gt;=5,G221&lt;=PERCENTILE($G$2:$G$300,0.3)),"하위30%: 제목·첫문단 수정","유지"))))</f>
        <v/>
      </c>
    </row>
    <row r="222">
      <c r="A222" s="27" t="n"/>
      <c r="B222" s="28" t="n"/>
      <c r="C222" s="28" t="n"/>
      <c r="D222" s="28" t="n"/>
      <c r="E222" s="28" t="n"/>
      <c r="F222" s="28" t="n"/>
      <c r="G222" s="29" t="n"/>
      <c r="H222" s="29" t="n"/>
      <c r="I222" s="28" t="n"/>
      <c r="J222" s="28" t="n"/>
      <c r="K222" s="30" t="n"/>
      <c r="L222" s="28" t="n"/>
      <c r="M222" s="27" t="n"/>
      <c r="N222" s="2">
        <f>IF(D222="","",IF(AND(J222&lt;&gt;"",J222&gt;=100,K222&lt;&gt;"",K222&lt;0.02),"제목·메타설명 수정",IF(AND(I222&lt;&gt;"",I222&gt;=8,I222&lt;=20),"본문 보강(표·FAQ·경험)",IF(AND(G222&lt;&gt;"",COUNT($G$2:$G$300)&gt;=5,G222&lt;=PERCENTILE($G$2:$G$300,0.3)),"하위30%: 제목·첫문단 수정","유지"))))</f>
        <v/>
      </c>
    </row>
    <row r="223">
      <c r="A223" s="27" t="n"/>
      <c r="B223" s="28" t="n"/>
      <c r="C223" s="28" t="n"/>
      <c r="D223" s="28" t="n"/>
      <c r="E223" s="28" t="n"/>
      <c r="F223" s="28" t="n"/>
      <c r="G223" s="29" t="n"/>
      <c r="H223" s="29" t="n"/>
      <c r="I223" s="28" t="n"/>
      <c r="J223" s="28" t="n"/>
      <c r="K223" s="30" t="n"/>
      <c r="L223" s="28" t="n"/>
      <c r="M223" s="27" t="n"/>
      <c r="N223" s="2">
        <f>IF(D223="","",IF(AND(J223&lt;&gt;"",J223&gt;=100,K223&lt;&gt;"",K223&lt;0.02),"제목·메타설명 수정",IF(AND(I223&lt;&gt;"",I223&gt;=8,I223&lt;=20),"본문 보강(표·FAQ·경험)",IF(AND(G223&lt;&gt;"",COUNT($G$2:$G$300)&gt;=5,G223&lt;=PERCENTILE($G$2:$G$300,0.3)),"하위30%: 제목·첫문단 수정","유지"))))</f>
        <v/>
      </c>
    </row>
    <row r="224">
      <c r="A224" s="27" t="n"/>
      <c r="B224" s="28" t="n"/>
      <c r="C224" s="28" t="n"/>
      <c r="D224" s="28" t="n"/>
      <c r="E224" s="28" t="n"/>
      <c r="F224" s="28" t="n"/>
      <c r="G224" s="29" t="n"/>
      <c r="H224" s="29" t="n"/>
      <c r="I224" s="28" t="n"/>
      <c r="J224" s="28" t="n"/>
      <c r="K224" s="30" t="n"/>
      <c r="L224" s="28" t="n"/>
      <c r="M224" s="27" t="n"/>
      <c r="N224" s="2">
        <f>IF(D224="","",IF(AND(J224&lt;&gt;"",J224&gt;=100,K224&lt;&gt;"",K224&lt;0.02),"제목·메타설명 수정",IF(AND(I224&lt;&gt;"",I224&gt;=8,I224&lt;=20),"본문 보강(표·FAQ·경험)",IF(AND(G224&lt;&gt;"",COUNT($G$2:$G$300)&gt;=5,G224&lt;=PERCENTILE($G$2:$G$300,0.3)),"하위30%: 제목·첫문단 수정","유지"))))</f>
        <v/>
      </c>
    </row>
    <row r="225">
      <c r="A225" s="27" t="n"/>
      <c r="B225" s="28" t="n"/>
      <c r="C225" s="28" t="n"/>
      <c r="D225" s="28" t="n"/>
      <c r="E225" s="28" t="n"/>
      <c r="F225" s="28" t="n"/>
      <c r="G225" s="29" t="n"/>
      <c r="H225" s="29" t="n"/>
      <c r="I225" s="28" t="n"/>
      <c r="J225" s="28" t="n"/>
      <c r="K225" s="30" t="n"/>
      <c r="L225" s="28" t="n"/>
      <c r="M225" s="27" t="n"/>
      <c r="N225" s="2">
        <f>IF(D225="","",IF(AND(J225&lt;&gt;"",J225&gt;=100,K225&lt;&gt;"",K225&lt;0.02),"제목·메타설명 수정",IF(AND(I225&lt;&gt;"",I225&gt;=8,I225&lt;=20),"본문 보강(표·FAQ·경험)",IF(AND(G225&lt;&gt;"",COUNT($G$2:$G$300)&gt;=5,G225&lt;=PERCENTILE($G$2:$G$300,0.3)),"하위30%: 제목·첫문단 수정","유지"))))</f>
        <v/>
      </c>
    </row>
    <row r="226">
      <c r="A226" s="27" t="n"/>
      <c r="B226" s="28" t="n"/>
      <c r="C226" s="28" t="n"/>
      <c r="D226" s="28" t="n"/>
      <c r="E226" s="28" t="n"/>
      <c r="F226" s="28" t="n"/>
      <c r="G226" s="29" t="n"/>
      <c r="H226" s="29" t="n"/>
      <c r="I226" s="28" t="n"/>
      <c r="J226" s="28" t="n"/>
      <c r="K226" s="30" t="n"/>
      <c r="L226" s="28" t="n"/>
      <c r="M226" s="27" t="n"/>
      <c r="N226" s="2">
        <f>IF(D226="","",IF(AND(J226&lt;&gt;"",J226&gt;=100,K226&lt;&gt;"",K226&lt;0.02),"제목·메타설명 수정",IF(AND(I226&lt;&gt;"",I226&gt;=8,I226&lt;=20),"본문 보강(표·FAQ·경험)",IF(AND(G226&lt;&gt;"",COUNT($G$2:$G$300)&gt;=5,G226&lt;=PERCENTILE($G$2:$G$300,0.3)),"하위30%: 제목·첫문단 수정","유지"))))</f>
        <v/>
      </c>
    </row>
    <row r="227">
      <c r="A227" s="27" t="n"/>
      <c r="B227" s="28" t="n"/>
      <c r="C227" s="28" t="n"/>
      <c r="D227" s="28" t="n"/>
      <c r="E227" s="28" t="n"/>
      <c r="F227" s="28" t="n"/>
      <c r="G227" s="29" t="n"/>
      <c r="H227" s="29" t="n"/>
      <c r="I227" s="28" t="n"/>
      <c r="J227" s="28" t="n"/>
      <c r="K227" s="30" t="n"/>
      <c r="L227" s="28" t="n"/>
      <c r="M227" s="27" t="n"/>
      <c r="N227" s="2">
        <f>IF(D227="","",IF(AND(J227&lt;&gt;"",J227&gt;=100,K227&lt;&gt;"",K227&lt;0.02),"제목·메타설명 수정",IF(AND(I227&lt;&gt;"",I227&gt;=8,I227&lt;=20),"본문 보강(표·FAQ·경험)",IF(AND(G227&lt;&gt;"",COUNT($G$2:$G$300)&gt;=5,G227&lt;=PERCENTILE($G$2:$G$300,0.3)),"하위30%: 제목·첫문단 수정","유지"))))</f>
        <v/>
      </c>
    </row>
    <row r="228">
      <c r="A228" s="27" t="n"/>
      <c r="B228" s="28" t="n"/>
      <c r="C228" s="28" t="n"/>
      <c r="D228" s="28" t="n"/>
      <c r="E228" s="28" t="n"/>
      <c r="F228" s="28" t="n"/>
      <c r="G228" s="29" t="n"/>
      <c r="H228" s="29" t="n"/>
      <c r="I228" s="28" t="n"/>
      <c r="J228" s="28" t="n"/>
      <c r="K228" s="30" t="n"/>
      <c r="L228" s="28" t="n"/>
      <c r="M228" s="27" t="n"/>
      <c r="N228" s="2">
        <f>IF(D228="","",IF(AND(J228&lt;&gt;"",J228&gt;=100,K228&lt;&gt;"",K228&lt;0.02),"제목·메타설명 수정",IF(AND(I228&lt;&gt;"",I228&gt;=8,I228&lt;=20),"본문 보강(표·FAQ·경험)",IF(AND(G228&lt;&gt;"",COUNT($G$2:$G$300)&gt;=5,G228&lt;=PERCENTILE($G$2:$G$300,0.3)),"하위30%: 제목·첫문단 수정","유지"))))</f>
        <v/>
      </c>
    </row>
    <row r="229">
      <c r="A229" s="27" t="n"/>
      <c r="B229" s="28" t="n"/>
      <c r="C229" s="28" t="n"/>
      <c r="D229" s="28" t="n"/>
      <c r="E229" s="28" t="n"/>
      <c r="F229" s="28" t="n"/>
      <c r="G229" s="29" t="n"/>
      <c r="H229" s="29" t="n"/>
      <c r="I229" s="28" t="n"/>
      <c r="J229" s="28" t="n"/>
      <c r="K229" s="30" t="n"/>
      <c r="L229" s="28" t="n"/>
      <c r="M229" s="27" t="n"/>
      <c r="N229" s="2">
        <f>IF(D229="","",IF(AND(J229&lt;&gt;"",J229&gt;=100,K229&lt;&gt;"",K229&lt;0.02),"제목·메타설명 수정",IF(AND(I229&lt;&gt;"",I229&gt;=8,I229&lt;=20),"본문 보강(표·FAQ·경험)",IF(AND(G229&lt;&gt;"",COUNT($G$2:$G$300)&gt;=5,G229&lt;=PERCENTILE($G$2:$G$300,0.3)),"하위30%: 제목·첫문단 수정","유지"))))</f>
        <v/>
      </c>
    </row>
    <row r="230">
      <c r="A230" s="27" t="n"/>
      <c r="B230" s="28" t="n"/>
      <c r="C230" s="28" t="n"/>
      <c r="D230" s="28" t="n"/>
      <c r="E230" s="28" t="n"/>
      <c r="F230" s="28" t="n"/>
      <c r="G230" s="29" t="n"/>
      <c r="H230" s="29" t="n"/>
      <c r="I230" s="28" t="n"/>
      <c r="J230" s="28" t="n"/>
      <c r="K230" s="30" t="n"/>
      <c r="L230" s="28" t="n"/>
      <c r="M230" s="27" t="n"/>
      <c r="N230" s="2">
        <f>IF(D230="","",IF(AND(J230&lt;&gt;"",J230&gt;=100,K230&lt;&gt;"",K230&lt;0.02),"제목·메타설명 수정",IF(AND(I230&lt;&gt;"",I230&gt;=8,I230&lt;=20),"본문 보강(표·FAQ·경험)",IF(AND(G230&lt;&gt;"",COUNT($G$2:$G$300)&gt;=5,G230&lt;=PERCENTILE($G$2:$G$300,0.3)),"하위30%: 제목·첫문단 수정","유지"))))</f>
        <v/>
      </c>
    </row>
    <row r="231">
      <c r="A231" s="27" t="n"/>
      <c r="B231" s="28" t="n"/>
      <c r="C231" s="28" t="n"/>
      <c r="D231" s="28" t="n"/>
      <c r="E231" s="28" t="n"/>
      <c r="F231" s="28" t="n"/>
      <c r="G231" s="29" t="n"/>
      <c r="H231" s="29" t="n"/>
      <c r="I231" s="28" t="n"/>
      <c r="J231" s="28" t="n"/>
      <c r="K231" s="30" t="n"/>
      <c r="L231" s="28" t="n"/>
      <c r="M231" s="27" t="n"/>
      <c r="N231" s="2">
        <f>IF(D231="","",IF(AND(J231&lt;&gt;"",J231&gt;=100,K231&lt;&gt;"",K231&lt;0.02),"제목·메타설명 수정",IF(AND(I231&lt;&gt;"",I231&gt;=8,I231&lt;=20),"본문 보강(표·FAQ·경험)",IF(AND(G231&lt;&gt;"",COUNT($G$2:$G$300)&gt;=5,G231&lt;=PERCENTILE($G$2:$G$300,0.3)),"하위30%: 제목·첫문단 수정","유지"))))</f>
        <v/>
      </c>
    </row>
    <row r="232">
      <c r="A232" s="27" t="n"/>
      <c r="B232" s="28" t="n"/>
      <c r="C232" s="28" t="n"/>
      <c r="D232" s="28" t="n"/>
      <c r="E232" s="28" t="n"/>
      <c r="F232" s="28" t="n"/>
      <c r="G232" s="29" t="n"/>
      <c r="H232" s="29" t="n"/>
      <c r="I232" s="28" t="n"/>
      <c r="J232" s="28" t="n"/>
      <c r="K232" s="30" t="n"/>
      <c r="L232" s="28" t="n"/>
      <c r="M232" s="27" t="n"/>
      <c r="N232" s="2">
        <f>IF(D232="","",IF(AND(J232&lt;&gt;"",J232&gt;=100,K232&lt;&gt;"",K232&lt;0.02),"제목·메타설명 수정",IF(AND(I232&lt;&gt;"",I232&gt;=8,I232&lt;=20),"본문 보강(표·FAQ·경험)",IF(AND(G232&lt;&gt;"",COUNT($G$2:$G$300)&gt;=5,G232&lt;=PERCENTILE($G$2:$G$300,0.3)),"하위30%: 제목·첫문단 수정","유지"))))</f>
        <v/>
      </c>
    </row>
    <row r="233">
      <c r="A233" s="27" t="n"/>
      <c r="B233" s="28" t="n"/>
      <c r="C233" s="28" t="n"/>
      <c r="D233" s="28" t="n"/>
      <c r="E233" s="28" t="n"/>
      <c r="F233" s="28" t="n"/>
      <c r="G233" s="29" t="n"/>
      <c r="H233" s="29" t="n"/>
      <c r="I233" s="28" t="n"/>
      <c r="J233" s="28" t="n"/>
      <c r="K233" s="30" t="n"/>
      <c r="L233" s="28" t="n"/>
      <c r="M233" s="27" t="n"/>
      <c r="N233" s="2">
        <f>IF(D233="","",IF(AND(J233&lt;&gt;"",J233&gt;=100,K233&lt;&gt;"",K233&lt;0.02),"제목·메타설명 수정",IF(AND(I233&lt;&gt;"",I233&gt;=8,I233&lt;=20),"본문 보강(표·FAQ·경험)",IF(AND(G233&lt;&gt;"",COUNT($G$2:$G$300)&gt;=5,G233&lt;=PERCENTILE($G$2:$G$300,0.3)),"하위30%: 제목·첫문단 수정","유지"))))</f>
        <v/>
      </c>
    </row>
    <row r="234">
      <c r="A234" s="27" t="n"/>
      <c r="B234" s="28" t="n"/>
      <c r="C234" s="28" t="n"/>
      <c r="D234" s="28" t="n"/>
      <c r="E234" s="28" t="n"/>
      <c r="F234" s="28" t="n"/>
      <c r="G234" s="29" t="n"/>
      <c r="H234" s="29" t="n"/>
      <c r="I234" s="28" t="n"/>
      <c r="J234" s="28" t="n"/>
      <c r="K234" s="30" t="n"/>
      <c r="L234" s="28" t="n"/>
      <c r="M234" s="27" t="n"/>
      <c r="N234" s="2">
        <f>IF(D234="","",IF(AND(J234&lt;&gt;"",J234&gt;=100,K234&lt;&gt;"",K234&lt;0.02),"제목·메타설명 수정",IF(AND(I234&lt;&gt;"",I234&gt;=8,I234&lt;=20),"본문 보강(표·FAQ·경험)",IF(AND(G234&lt;&gt;"",COUNT($G$2:$G$300)&gt;=5,G234&lt;=PERCENTILE($G$2:$G$300,0.3)),"하위30%: 제목·첫문단 수정","유지"))))</f>
        <v/>
      </c>
    </row>
    <row r="235">
      <c r="A235" s="27" t="n"/>
      <c r="B235" s="28" t="n"/>
      <c r="C235" s="28" t="n"/>
      <c r="D235" s="28" t="n"/>
      <c r="E235" s="28" t="n"/>
      <c r="F235" s="28" t="n"/>
      <c r="G235" s="29" t="n"/>
      <c r="H235" s="29" t="n"/>
      <c r="I235" s="28" t="n"/>
      <c r="J235" s="28" t="n"/>
      <c r="K235" s="30" t="n"/>
      <c r="L235" s="28" t="n"/>
      <c r="M235" s="27" t="n"/>
      <c r="N235" s="2">
        <f>IF(D235="","",IF(AND(J235&lt;&gt;"",J235&gt;=100,K235&lt;&gt;"",K235&lt;0.02),"제목·메타설명 수정",IF(AND(I235&lt;&gt;"",I235&gt;=8,I235&lt;=20),"본문 보강(표·FAQ·경험)",IF(AND(G235&lt;&gt;"",COUNT($G$2:$G$300)&gt;=5,G235&lt;=PERCENTILE($G$2:$G$300,0.3)),"하위30%: 제목·첫문단 수정","유지"))))</f>
        <v/>
      </c>
    </row>
    <row r="236">
      <c r="A236" s="27" t="n"/>
      <c r="B236" s="28" t="n"/>
      <c r="C236" s="28" t="n"/>
      <c r="D236" s="28" t="n"/>
      <c r="E236" s="28" t="n"/>
      <c r="F236" s="28" t="n"/>
      <c r="G236" s="29" t="n"/>
      <c r="H236" s="29" t="n"/>
      <c r="I236" s="28" t="n"/>
      <c r="J236" s="28" t="n"/>
      <c r="K236" s="30" t="n"/>
      <c r="L236" s="28" t="n"/>
      <c r="M236" s="27" t="n"/>
      <c r="N236" s="2">
        <f>IF(D236="","",IF(AND(J236&lt;&gt;"",J236&gt;=100,K236&lt;&gt;"",K236&lt;0.02),"제목·메타설명 수정",IF(AND(I236&lt;&gt;"",I236&gt;=8,I236&lt;=20),"본문 보강(표·FAQ·경험)",IF(AND(G236&lt;&gt;"",COUNT($G$2:$G$300)&gt;=5,G236&lt;=PERCENTILE($G$2:$G$300,0.3)),"하위30%: 제목·첫문단 수정","유지"))))</f>
        <v/>
      </c>
    </row>
    <row r="237">
      <c r="A237" s="27" t="n"/>
      <c r="B237" s="28" t="n"/>
      <c r="C237" s="28" t="n"/>
      <c r="D237" s="28" t="n"/>
      <c r="E237" s="28" t="n"/>
      <c r="F237" s="28" t="n"/>
      <c r="G237" s="29" t="n"/>
      <c r="H237" s="29" t="n"/>
      <c r="I237" s="28" t="n"/>
      <c r="J237" s="28" t="n"/>
      <c r="K237" s="30" t="n"/>
      <c r="L237" s="28" t="n"/>
      <c r="M237" s="27" t="n"/>
      <c r="N237" s="2">
        <f>IF(D237="","",IF(AND(J237&lt;&gt;"",J237&gt;=100,K237&lt;&gt;"",K237&lt;0.02),"제목·메타설명 수정",IF(AND(I237&lt;&gt;"",I237&gt;=8,I237&lt;=20),"본문 보강(표·FAQ·경험)",IF(AND(G237&lt;&gt;"",COUNT($G$2:$G$300)&gt;=5,G237&lt;=PERCENTILE($G$2:$G$300,0.3)),"하위30%: 제목·첫문단 수정","유지"))))</f>
        <v/>
      </c>
    </row>
    <row r="238">
      <c r="A238" s="27" t="n"/>
      <c r="B238" s="28" t="n"/>
      <c r="C238" s="28" t="n"/>
      <c r="D238" s="28" t="n"/>
      <c r="E238" s="28" t="n"/>
      <c r="F238" s="28" t="n"/>
      <c r="G238" s="29" t="n"/>
      <c r="H238" s="29" t="n"/>
      <c r="I238" s="28" t="n"/>
      <c r="J238" s="28" t="n"/>
      <c r="K238" s="30" t="n"/>
      <c r="L238" s="28" t="n"/>
      <c r="M238" s="27" t="n"/>
      <c r="N238" s="2">
        <f>IF(D238="","",IF(AND(J238&lt;&gt;"",J238&gt;=100,K238&lt;&gt;"",K238&lt;0.02),"제목·메타설명 수정",IF(AND(I238&lt;&gt;"",I238&gt;=8,I238&lt;=20),"본문 보강(표·FAQ·경험)",IF(AND(G238&lt;&gt;"",COUNT($G$2:$G$300)&gt;=5,G238&lt;=PERCENTILE($G$2:$G$300,0.3)),"하위30%: 제목·첫문단 수정","유지"))))</f>
        <v/>
      </c>
    </row>
    <row r="239">
      <c r="A239" s="27" t="n"/>
      <c r="B239" s="28" t="n"/>
      <c r="C239" s="28" t="n"/>
      <c r="D239" s="28" t="n"/>
      <c r="E239" s="28" t="n"/>
      <c r="F239" s="28" t="n"/>
      <c r="G239" s="29" t="n"/>
      <c r="H239" s="29" t="n"/>
      <c r="I239" s="28" t="n"/>
      <c r="J239" s="28" t="n"/>
      <c r="K239" s="30" t="n"/>
      <c r="L239" s="28" t="n"/>
      <c r="M239" s="27" t="n"/>
      <c r="N239" s="2">
        <f>IF(D239="","",IF(AND(J239&lt;&gt;"",J239&gt;=100,K239&lt;&gt;"",K239&lt;0.02),"제목·메타설명 수정",IF(AND(I239&lt;&gt;"",I239&gt;=8,I239&lt;=20),"본문 보강(표·FAQ·경험)",IF(AND(G239&lt;&gt;"",COUNT($G$2:$G$300)&gt;=5,G239&lt;=PERCENTILE($G$2:$G$300,0.3)),"하위30%: 제목·첫문단 수정","유지"))))</f>
        <v/>
      </c>
    </row>
    <row r="240">
      <c r="A240" s="27" t="n"/>
      <c r="B240" s="28" t="n"/>
      <c r="C240" s="28" t="n"/>
      <c r="D240" s="28" t="n"/>
      <c r="E240" s="28" t="n"/>
      <c r="F240" s="28" t="n"/>
      <c r="G240" s="29" t="n"/>
      <c r="H240" s="29" t="n"/>
      <c r="I240" s="28" t="n"/>
      <c r="J240" s="28" t="n"/>
      <c r="K240" s="30" t="n"/>
      <c r="L240" s="28" t="n"/>
      <c r="M240" s="27" t="n"/>
      <c r="N240" s="2">
        <f>IF(D240="","",IF(AND(J240&lt;&gt;"",J240&gt;=100,K240&lt;&gt;"",K240&lt;0.02),"제목·메타설명 수정",IF(AND(I240&lt;&gt;"",I240&gt;=8,I240&lt;=20),"본문 보강(표·FAQ·경험)",IF(AND(G240&lt;&gt;"",COUNT($G$2:$G$300)&gt;=5,G240&lt;=PERCENTILE($G$2:$G$300,0.3)),"하위30%: 제목·첫문단 수정","유지"))))</f>
        <v/>
      </c>
    </row>
    <row r="241">
      <c r="A241" s="27" t="n"/>
      <c r="B241" s="28" t="n"/>
      <c r="C241" s="28" t="n"/>
      <c r="D241" s="28" t="n"/>
      <c r="E241" s="28" t="n"/>
      <c r="F241" s="28" t="n"/>
      <c r="G241" s="29" t="n"/>
      <c r="H241" s="29" t="n"/>
      <c r="I241" s="28" t="n"/>
      <c r="J241" s="28" t="n"/>
      <c r="K241" s="30" t="n"/>
      <c r="L241" s="28" t="n"/>
      <c r="M241" s="27" t="n"/>
      <c r="N241" s="2">
        <f>IF(D241="","",IF(AND(J241&lt;&gt;"",J241&gt;=100,K241&lt;&gt;"",K241&lt;0.02),"제목·메타설명 수정",IF(AND(I241&lt;&gt;"",I241&gt;=8,I241&lt;=20),"본문 보강(표·FAQ·경험)",IF(AND(G241&lt;&gt;"",COUNT($G$2:$G$300)&gt;=5,G241&lt;=PERCENTILE($G$2:$G$300,0.3)),"하위30%: 제목·첫문단 수정","유지"))))</f>
        <v/>
      </c>
    </row>
    <row r="242">
      <c r="A242" s="27" t="n"/>
      <c r="B242" s="28" t="n"/>
      <c r="C242" s="28" t="n"/>
      <c r="D242" s="28" t="n"/>
      <c r="E242" s="28" t="n"/>
      <c r="F242" s="28" t="n"/>
      <c r="G242" s="29" t="n"/>
      <c r="H242" s="29" t="n"/>
      <c r="I242" s="28" t="n"/>
      <c r="J242" s="28" t="n"/>
      <c r="K242" s="30" t="n"/>
      <c r="L242" s="28" t="n"/>
      <c r="M242" s="27" t="n"/>
      <c r="N242" s="2">
        <f>IF(D242="","",IF(AND(J242&lt;&gt;"",J242&gt;=100,K242&lt;&gt;"",K242&lt;0.02),"제목·메타설명 수정",IF(AND(I242&lt;&gt;"",I242&gt;=8,I242&lt;=20),"본문 보강(표·FAQ·경험)",IF(AND(G242&lt;&gt;"",COUNT($G$2:$G$300)&gt;=5,G242&lt;=PERCENTILE($G$2:$G$300,0.3)),"하위30%: 제목·첫문단 수정","유지"))))</f>
        <v/>
      </c>
    </row>
    <row r="243">
      <c r="A243" s="27" t="n"/>
      <c r="B243" s="28" t="n"/>
      <c r="C243" s="28" t="n"/>
      <c r="D243" s="28" t="n"/>
      <c r="E243" s="28" t="n"/>
      <c r="F243" s="28" t="n"/>
      <c r="G243" s="29" t="n"/>
      <c r="H243" s="29" t="n"/>
      <c r="I243" s="28" t="n"/>
      <c r="J243" s="28" t="n"/>
      <c r="K243" s="30" t="n"/>
      <c r="L243" s="28" t="n"/>
      <c r="M243" s="27" t="n"/>
      <c r="N243" s="2">
        <f>IF(D243="","",IF(AND(J243&lt;&gt;"",J243&gt;=100,K243&lt;&gt;"",K243&lt;0.02),"제목·메타설명 수정",IF(AND(I243&lt;&gt;"",I243&gt;=8,I243&lt;=20),"본문 보강(표·FAQ·경험)",IF(AND(G243&lt;&gt;"",COUNT($G$2:$G$300)&gt;=5,G243&lt;=PERCENTILE($G$2:$G$300,0.3)),"하위30%: 제목·첫문단 수정","유지"))))</f>
        <v/>
      </c>
    </row>
    <row r="244">
      <c r="A244" s="27" t="n"/>
      <c r="B244" s="28" t="n"/>
      <c r="C244" s="28" t="n"/>
      <c r="D244" s="28" t="n"/>
      <c r="E244" s="28" t="n"/>
      <c r="F244" s="28" t="n"/>
      <c r="G244" s="29" t="n"/>
      <c r="H244" s="29" t="n"/>
      <c r="I244" s="28" t="n"/>
      <c r="J244" s="28" t="n"/>
      <c r="K244" s="30" t="n"/>
      <c r="L244" s="28" t="n"/>
      <c r="M244" s="27" t="n"/>
      <c r="N244" s="2">
        <f>IF(D244="","",IF(AND(J244&lt;&gt;"",J244&gt;=100,K244&lt;&gt;"",K244&lt;0.02),"제목·메타설명 수정",IF(AND(I244&lt;&gt;"",I244&gt;=8,I244&lt;=20),"본문 보강(표·FAQ·경험)",IF(AND(G244&lt;&gt;"",COUNT($G$2:$G$300)&gt;=5,G244&lt;=PERCENTILE($G$2:$G$300,0.3)),"하위30%: 제목·첫문단 수정","유지"))))</f>
        <v/>
      </c>
    </row>
    <row r="245">
      <c r="A245" s="27" t="n"/>
      <c r="B245" s="28" t="n"/>
      <c r="C245" s="28" t="n"/>
      <c r="D245" s="28" t="n"/>
      <c r="E245" s="28" t="n"/>
      <c r="F245" s="28" t="n"/>
      <c r="G245" s="29" t="n"/>
      <c r="H245" s="29" t="n"/>
      <c r="I245" s="28" t="n"/>
      <c r="J245" s="28" t="n"/>
      <c r="K245" s="30" t="n"/>
      <c r="L245" s="28" t="n"/>
      <c r="M245" s="27" t="n"/>
      <c r="N245" s="2">
        <f>IF(D245="","",IF(AND(J245&lt;&gt;"",J245&gt;=100,K245&lt;&gt;"",K245&lt;0.02),"제목·메타설명 수정",IF(AND(I245&lt;&gt;"",I245&gt;=8,I245&lt;=20),"본문 보강(표·FAQ·경험)",IF(AND(G245&lt;&gt;"",COUNT($G$2:$G$300)&gt;=5,G245&lt;=PERCENTILE($G$2:$G$300,0.3)),"하위30%: 제목·첫문단 수정","유지"))))</f>
        <v/>
      </c>
    </row>
    <row r="246">
      <c r="A246" s="27" t="n"/>
      <c r="B246" s="28" t="n"/>
      <c r="C246" s="28" t="n"/>
      <c r="D246" s="28" t="n"/>
      <c r="E246" s="28" t="n"/>
      <c r="F246" s="28" t="n"/>
      <c r="G246" s="29" t="n"/>
      <c r="H246" s="29" t="n"/>
      <c r="I246" s="28" t="n"/>
      <c r="J246" s="28" t="n"/>
      <c r="K246" s="30" t="n"/>
      <c r="L246" s="28" t="n"/>
      <c r="M246" s="27" t="n"/>
      <c r="N246" s="2">
        <f>IF(D246="","",IF(AND(J246&lt;&gt;"",J246&gt;=100,K246&lt;&gt;"",K246&lt;0.02),"제목·메타설명 수정",IF(AND(I246&lt;&gt;"",I246&gt;=8,I246&lt;=20),"본문 보강(표·FAQ·경험)",IF(AND(G246&lt;&gt;"",COUNT($G$2:$G$300)&gt;=5,G246&lt;=PERCENTILE($G$2:$G$300,0.3)),"하위30%: 제목·첫문단 수정","유지"))))</f>
        <v/>
      </c>
    </row>
    <row r="247">
      <c r="A247" s="27" t="n"/>
      <c r="B247" s="28" t="n"/>
      <c r="C247" s="28" t="n"/>
      <c r="D247" s="28" t="n"/>
      <c r="E247" s="28" t="n"/>
      <c r="F247" s="28" t="n"/>
      <c r="G247" s="29" t="n"/>
      <c r="H247" s="29" t="n"/>
      <c r="I247" s="28" t="n"/>
      <c r="J247" s="28" t="n"/>
      <c r="K247" s="30" t="n"/>
      <c r="L247" s="28" t="n"/>
      <c r="M247" s="27" t="n"/>
      <c r="N247" s="2">
        <f>IF(D247="","",IF(AND(J247&lt;&gt;"",J247&gt;=100,K247&lt;&gt;"",K247&lt;0.02),"제목·메타설명 수정",IF(AND(I247&lt;&gt;"",I247&gt;=8,I247&lt;=20),"본문 보강(표·FAQ·경험)",IF(AND(G247&lt;&gt;"",COUNT($G$2:$G$300)&gt;=5,G247&lt;=PERCENTILE($G$2:$G$300,0.3)),"하위30%: 제목·첫문단 수정","유지"))))</f>
        <v/>
      </c>
    </row>
    <row r="248">
      <c r="A248" s="27" t="n"/>
      <c r="B248" s="28" t="n"/>
      <c r="C248" s="28" t="n"/>
      <c r="D248" s="28" t="n"/>
      <c r="E248" s="28" t="n"/>
      <c r="F248" s="28" t="n"/>
      <c r="G248" s="29" t="n"/>
      <c r="H248" s="29" t="n"/>
      <c r="I248" s="28" t="n"/>
      <c r="J248" s="28" t="n"/>
      <c r="K248" s="30" t="n"/>
      <c r="L248" s="28" t="n"/>
      <c r="M248" s="27" t="n"/>
      <c r="N248" s="2">
        <f>IF(D248="","",IF(AND(J248&lt;&gt;"",J248&gt;=100,K248&lt;&gt;"",K248&lt;0.02),"제목·메타설명 수정",IF(AND(I248&lt;&gt;"",I248&gt;=8,I248&lt;=20),"본문 보강(표·FAQ·경험)",IF(AND(G248&lt;&gt;"",COUNT($G$2:$G$300)&gt;=5,G248&lt;=PERCENTILE($G$2:$G$300,0.3)),"하위30%: 제목·첫문단 수정","유지"))))</f>
        <v/>
      </c>
    </row>
    <row r="249">
      <c r="A249" s="27" t="n"/>
      <c r="B249" s="28" t="n"/>
      <c r="C249" s="28" t="n"/>
      <c r="D249" s="28" t="n"/>
      <c r="E249" s="28" t="n"/>
      <c r="F249" s="28" t="n"/>
      <c r="G249" s="29" t="n"/>
      <c r="H249" s="29" t="n"/>
      <c r="I249" s="28" t="n"/>
      <c r="J249" s="28" t="n"/>
      <c r="K249" s="30" t="n"/>
      <c r="L249" s="28" t="n"/>
      <c r="M249" s="27" t="n"/>
      <c r="N249" s="2">
        <f>IF(D249="","",IF(AND(J249&lt;&gt;"",J249&gt;=100,K249&lt;&gt;"",K249&lt;0.02),"제목·메타설명 수정",IF(AND(I249&lt;&gt;"",I249&gt;=8,I249&lt;=20),"본문 보강(표·FAQ·경험)",IF(AND(G249&lt;&gt;"",COUNT($G$2:$G$300)&gt;=5,G249&lt;=PERCENTILE($G$2:$G$300,0.3)),"하위30%: 제목·첫문단 수정","유지"))))</f>
        <v/>
      </c>
    </row>
    <row r="250">
      <c r="A250" s="27" t="n"/>
      <c r="B250" s="28" t="n"/>
      <c r="C250" s="28" t="n"/>
      <c r="D250" s="28" t="n"/>
      <c r="E250" s="28" t="n"/>
      <c r="F250" s="28" t="n"/>
      <c r="G250" s="29" t="n"/>
      <c r="H250" s="29" t="n"/>
      <c r="I250" s="28" t="n"/>
      <c r="J250" s="28" t="n"/>
      <c r="K250" s="30" t="n"/>
      <c r="L250" s="28" t="n"/>
      <c r="M250" s="27" t="n"/>
      <c r="N250" s="2">
        <f>IF(D250="","",IF(AND(J250&lt;&gt;"",J250&gt;=100,K250&lt;&gt;"",K250&lt;0.02),"제목·메타설명 수정",IF(AND(I250&lt;&gt;"",I250&gt;=8,I250&lt;=20),"본문 보강(표·FAQ·경험)",IF(AND(G250&lt;&gt;"",COUNT($G$2:$G$300)&gt;=5,G250&lt;=PERCENTILE($G$2:$G$300,0.3)),"하위30%: 제목·첫문단 수정","유지"))))</f>
        <v/>
      </c>
    </row>
    <row r="251">
      <c r="A251" s="27" t="n"/>
      <c r="B251" s="28" t="n"/>
      <c r="C251" s="28" t="n"/>
      <c r="D251" s="28" t="n"/>
      <c r="E251" s="28" t="n"/>
      <c r="F251" s="28" t="n"/>
      <c r="G251" s="29" t="n"/>
      <c r="H251" s="29" t="n"/>
      <c r="I251" s="28" t="n"/>
      <c r="J251" s="28" t="n"/>
      <c r="K251" s="30" t="n"/>
      <c r="L251" s="28" t="n"/>
      <c r="M251" s="27" t="n"/>
      <c r="N251" s="2">
        <f>IF(D251="","",IF(AND(J251&lt;&gt;"",J251&gt;=100,K251&lt;&gt;"",K251&lt;0.02),"제목·메타설명 수정",IF(AND(I251&lt;&gt;"",I251&gt;=8,I251&lt;=20),"본문 보강(표·FAQ·경험)",IF(AND(G251&lt;&gt;"",COUNT($G$2:$G$300)&gt;=5,G251&lt;=PERCENTILE($G$2:$G$300,0.3)),"하위30%: 제목·첫문단 수정","유지"))))</f>
        <v/>
      </c>
    </row>
    <row r="252">
      <c r="A252" s="27" t="n"/>
      <c r="B252" s="28" t="n"/>
      <c r="C252" s="28" t="n"/>
      <c r="D252" s="28" t="n"/>
      <c r="E252" s="28" t="n"/>
      <c r="F252" s="28" t="n"/>
      <c r="G252" s="29" t="n"/>
      <c r="H252" s="29" t="n"/>
      <c r="I252" s="28" t="n"/>
      <c r="J252" s="28" t="n"/>
      <c r="K252" s="30" t="n"/>
      <c r="L252" s="28" t="n"/>
      <c r="M252" s="27" t="n"/>
      <c r="N252" s="2">
        <f>IF(D252="","",IF(AND(J252&lt;&gt;"",J252&gt;=100,K252&lt;&gt;"",K252&lt;0.02),"제목·메타설명 수정",IF(AND(I252&lt;&gt;"",I252&gt;=8,I252&lt;=20),"본문 보강(표·FAQ·경험)",IF(AND(G252&lt;&gt;"",COUNT($G$2:$G$300)&gt;=5,G252&lt;=PERCENTILE($G$2:$G$300,0.3)),"하위30%: 제목·첫문단 수정","유지"))))</f>
        <v/>
      </c>
    </row>
    <row r="253">
      <c r="A253" s="27" t="n"/>
      <c r="B253" s="28" t="n"/>
      <c r="C253" s="28" t="n"/>
      <c r="D253" s="28" t="n"/>
      <c r="E253" s="28" t="n"/>
      <c r="F253" s="28" t="n"/>
      <c r="G253" s="29" t="n"/>
      <c r="H253" s="29" t="n"/>
      <c r="I253" s="28" t="n"/>
      <c r="J253" s="28" t="n"/>
      <c r="K253" s="30" t="n"/>
      <c r="L253" s="28" t="n"/>
      <c r="M253" s="27" t="n"/>
      <c r="N253" s="2">
        <f>IF(D253="","",IF(AND(J253&lt;&gt;"",J253&gt;=100,K253&lt;&gt;"",K253&lt;0.02),"제목·메타설명 수정",IF(AND(I253&lt;&gt;"",I253&gt;=8,I253&lt;=20),"본문 보강(표·FAQ·경험)",IF(AND(G253&lt;&gt;"",COUNT($G$2:$G$300)&gt;=5,G253&lt;=PERCENTILE($G$2:$G$300,0.3)),"하위30%: 제목·첫문단 수정","유지"))))</f>
        <v/>
      </c>
    </row>
    <row r="254">
      <c r="A254" s="27" t="n"/>
      <c r="B254" s="28" t="n"/>
      <c r="C254" s="28" t="n"/>
      <c r="D254" s="28" t="n"/>
      <c r="E254" s="28" t="n"/>
      <c r="F254" s="28" t="n"/>
      <c r="G254" s="29" t="n"/>
      <c r="H254" s="29" t="n"/>
      <c r="I254" s="28" t="n"/>
      <c r="J254" s="28" t="n"/>
      <c r="K254" s="30" t="n"/>
      <c r="L254" s="28" t="n"/>
      <c r="M254" s="27" t="n"/>
      <c r="N254" s="2">
        <f>IF(D254="","",IF(AND(J254&lt;&gt;"",J254&gt;=100,K254&lt;&gt;"",K254&lt;0.02),"제목·메타설명 수정",IF(AND(I254&lt;&gt;"",I254&gt;=8,I254&lt;=20),"본문 보강(표·FAQ·경험)",IF(AND(G254&lt;&gt;"",COUNT($G$2:$G$300)&gt;=5,G254&lt;=PERCENTILE($G$2:$G$300,0.3)),"하위30%: 제목·첫문단 수정","유지"))))</f>
        <v/>
      </c>
    </row>
    <row r="255">
      <c r="A255" s="27" t="n"/>
      <c r="B255" s="28" t="n"/>
      <c r="C255" s="28" t="n"/>
      <c r="D255" s="28" t="n"/>
      <c r="E255" s="28" t="n"/>
      <c r="F255" s="28" t="n"/>
      <c r="G255" s="29" t="n"/>
      <c r="H255" s="29" t="n"/>
      <c r="I255" s="28" t="n"/>
      <c r="J255" s="28" t="n"/>
      <c r="K255" s="30" t="n"/>
      <c r="L255" s="28" t="n"/>
      <c r="M255" s="27" t="n"/>
      <c r="N255" s="2">
        <f>IF(D255="","",IF(AND(J255&lt;&gt;"",J255&gt;=100,K255&lt;&gt;"",K255&lt;0.02),"제목·메타설명 수정",IF(AND(I255&lt;&gt;"",I255&gt;=8,I255&lt;=20),"본문 보강(표·FAQ·경험)",IF(AND(G255&lt;&gt;"",COUNT($G$2:$G$300)&gt;=5,G255&lt;=PERCENTILE($G$2:$G$300,0.3)),"하위30%: 제목·첫문단 수정","유지"))))</f>
        <v/>
      </c>
    </row>
    <row r="256">
      <c r="A256" s="27" t="n"/>
      <c r="B256" s="28" t="n"/>
      <c r="C256" s="28" t="n"/>
      <c r="D256" s="28" t="n"/>
      <c r="E256" s="28" t="n"/>
      <c r="F256" s="28" t="n"/>
      <c r="G256" s="29" t="n"/>
      <c r="H256" s="29" t="n"/>
      <c r="I256" s="28" t="n"/>
      <c r="J256" s="28" t="n"/>
      <c r="K256" s="30" t="n"/>
      <c r="L256" s="28" t="n"/>
      <c r="M256" s="27" t="n"/>
      <c r="N256" s="2">
        <f>IF(D256="","",IF(AND(J256&lt;&gt;"",J256&gt;=100,K256&lt;&gt;"",K256&lt;0.02),"제목·메타설명 수정",IF(AND(I256&lt;&gt;"",I256&gt;=8,I256&lt;=20),"본문 보강(표·FAQ·경험)",IF(AND(G256&lt;&gt;"",COUNT($G$2:$G$300)&gt;=5,G256&lt;=PERCENTILE($G$2:$G$300,0.3)),"하위30%: 제목·첫문단 수정","유지"))))</f>
        <v/>
      </c>
    </row>
    <row r="257">
      <c r="A257" s="27" t="n"/>
      <c r="B257" s="28" t="n"/>
      <c r="C257" s="28" t="n"/>
      <c r="D257" s="28" t="n"/>
      <c r="E257" s="28" t="n"/>
      <c r="F257" s="28" t="n"/>
      <c r="G257" s="29" t="n"/>
      <c r="H257" s="29" t="n"/>
      <c r="I257" s="28" t="n"/>
      <c r="J257" s="28" t="n"/>
      <c r="K257" s="30" t="n"/>
      <c r="L257" s="28" t="n"/>
      <c r="M257" s="27" t="n"/>
      <c r="N257" s="2">
        <f>IF(D257="","",IF(AND(J257&lt;&gt;"",J257&gt;=100,K257&lt;&gt;"",K257&lt;0.02),"제목·메타설명 수정",IF(AND(I257&lt;&gt;"",I257&gt;=8,I257&lt;=20),"본문 보강(표·FAQ·경험)",IF(AND(G257&lt;&gt;"",COUNT($G$2:$G$300)&gt;=5,G257&lt;=PERCENTILE($G$2:$G$300,0.3)),"하위30%: 제목·첫문단 수정","유지"))))</f>
        <v/>
      </c>
    </row>
    <row r="258">
      <c r="A258" s="27" t="n"/>
      <c r="B258" s="28" t="n"/>
      <c r="C258" s="28" t="n"/>
      <c r="D258" s="28" t="n"/>
      <c r="E258" s="28" t="n"/>
      <c r="F258" s="28" t="n"/>
      <c r="G258" s="29" t="n"/>
      <c r="H258" s="29" t="n"/>
      <c r="I258" s="28" t="n"/>
      <c r="J258" s="28" t="n"/>
      <c r="K258" s="30" t="n"/>
      <c r="L258" s="28" t="n"/>
      <c r="M258" s="27" t="n"/>
      <c r="N258" s="2">
        <f>IF(D258="","",IF(AND(J258&lt;&gt;"",J258&gt;=100,K258&lt;&gt;"",K258&lt;0.02),"제목·메타설명 수정",IF(AND(I258&lt;&gt;"",I258&gt;=8,I258&lt;=20),"본문 보강(표·FAQ·경험)",IF(AND(G258&lt;&gt;"",COUNT($G$2:$G$300)&gt;=5,G258&lt;=PERCENTILE($G$2:$G$300,0.3)),"하위30%: 제목·첫문단 수정","유지"))))</f>
        <v/>
      </c>
    </row>
    <row r="259">
      <c r="A259" s="27" t="n"/>
      <c r="B259" s="28" t="n"/>
      <c r="C259" s="28" t="n"/>
      <c r="D259" s="28" t="n"/>
      <c r="E259" s="28" t="n"/>
      <c r="F259" s="28" t="n"/>
      <c r="G259" s="29" t="n"/>
      <c r="H259" s="29" t="n"/>
      <c r="I259" s="28" t="n"/>
      <c r="J259" s="28" t="n"/>
      <c r="K259" s="30" t="n"/>
      <c r="L259" s="28" t="n"/>
      <c r="M259" s="27" t="n"/>
      <c r="N259" s="2">
        <f>IF(D259="","",IF(AND(J259&lt;&gt;"",J259&gt;=100,K259&lt;&gt;"",K259&lt;0.02),"제목·메타설명 수정",IF(AND(I259&lt;&gt;"",I259&gt;=8,I259&lt;=20),"본문 보강(표·FAQ·경험)",IF(AND(G259&lt;&gt;"",COUNT($G$2:$G$300)&gt;=5,G259&lt;=PERCENTILE($G$2:$G$300,0.3)),"하위30%: 제목·첫문단 수정","유지"))))</f>
        <v/>
      </c>
    </row>
    <row r="260">
      <c r="A260" s="27" t="n"/>
      <c r="B260" s="28" t="n"/>
      <c r="C260" s="28" t="n"/>
      <c r="D260" s="28" t="n"/>
      <c r="E260" s="28" t="n"/>
      <c r="F260" s="28" t="n"/>
      <c r="G260" s="29" t="n"/>
      <c r="H260" s="29" t="n"/>
      <c r="I260" s="28" t="n"/>
      <c r="J260" s="28" t="n"/>
      <c r="K260" s="30" t="n"/>
      <c r="L260" s="28" t="n"/>
      <c r="M260" s="27" t="n"/>
      <c r="N260" s="2">
        <f>IF(D260="","",IF(AND(J260&lt;&gt;"",J260&gt;=100,K260&lt;&gt;"",K260&lt;0.02),"제목·메타설명 수정",IF(AND(I260&lt;&gt;"",I260&gt;=8,I260&lt;=20),"본문 보강(표·FAQ·경험)",IF(AND(G260&lt;&gt;"",COUNT($G$2:$G$300)&gt;=5,G260&lt;=PERCENTILE($G$2:$G$300,0.3)),"하위30%: 제목·첫문단 수정","유지"))))</f>
        <v/>
      </c>
    </row>
    <row r="261">
      <c r="A261" s="27" t="n"/>
      <c r="B261" s="28" t="n"/>
      <c r="C261" s="28" t="n"/>
      <c r="D261" s="28" t="n"/>
      <c r="E261" s="28" t="n"/>
      <c r="F261" s="28" t="n"/>
      <c r="G261" s="29" t="n"/>
      <c r="H261" s="29" t="n"/>
      <c r="I261" s="28" t="n"/>
      <c r="J261" s="28" t="n"/>
      <c r="K261" s="30" t="n"/>
      <c r="L261" s="28" t="n"/>
      <c r="M261" s="27" t="n"/>
      <c r="N261" s="2">
        <f>IF(D261="","",IF(AND(J261&lt;&gt;"",J261&gt;=100,K261&lt;&gt;"",K261&lt;0.02),"제목·메타설명 수정",IF(AND(I261&lt;&gt;"",I261&gt;=8,I261&lt;=20),"본문 보강(표·FAQ·경험)",IF(AND(G261&lt;&gt;"",COUNT($G$2:$G$300)&gt;=5,G261&lt;=PERCENTILE($G$2:$G$300,0.3)),"하위30%: 제목·첫문단 수정","유지"))))</f>
        <v/>
      </c>
    </row>
    <row r="262">
      <c r="A262" s="27" t="n"/>
      <c r="B262" s="28" t="n"/>
      <c r="C262" s="28" t="n"/>
      <c r="D262" s="28" t="n"/>
      <c r="E262" s="28" t="n"/>
      <c r="F262" s="28" t="n"/>
      <c r="G262" s="29" t="n"/>
      <c r="H262" s="29" t="n"/>
      <c r="I262" s="28" t="n"/>
      <c r="J262" s="28" t="n"/>
      <c r="K262" s="30" t="n"/>
      <c r="L262" s="28" t="n"/>
      <c r="M262" s="27" t="n"/>
      <c r="N262" s="2">
        <f>IF(D262="","",IF(AND(J262&lt;&gt;"",J262&gt;=100,K262&lt;&gt;"",K262&lt;0.02),"제목·메타설명 수정",IF(AND(I262&lt;&gt;"",I262&gt;=8,I262&lt;=20),"본문 보강(표·FAQ·경험)",IF(AND(G262&lt;&gt;"",COUNT($G$2:$G$300)&gt;=5,G262&lt;=PERCENTILE($G$2:$G$300,0.3)),"하위30%: 제목·첫문단 수정","유지"))))</f>
        <v/>
      </c>
    </row>
    <row r="263">
      <c r="A263" s="27" t="n"/>
      <c r="B263" s="28" t="n"/>
      <c r="C263" s="28" t="n"/>
      <c r="D263" s="28" t="n"/>
      <c r="E263" s="28" t="n"/>
      <c r="F263" s="28" t="n"/>
      <c r="G263" s="29" t="n"/>
      <c r="H263" s="29" t="n"/>
      <c r="I263" s="28" t="n"/>
      <c r="J263" s="28" t="n"/>
      <c r="K263" s="30" t="n"/>
      <c r="L263" s="28" t="n"/>
      <c r="M263" s="27" t="n"/>
      <c r="N263" s="2">
        <f>IF(D263="","",IF(AND(J263&lt;&gt;"",J263&gt;=100,K263&lt;&gt;"",K263&lt;0.02),"제목·메타설명 수정",IF(AND(I263&lt;&gt;"",I263&gt;=8,I263&lt;=20),"본문 보강(표·FAQ·경험)",IF(AND(G263&lt;&gt;"",COUNT($G$2:$G$300)&gt;=5,G263&lt;=PERCENTILE($G$2:$G$300,0.3)),"하위30%: 제목·첫문단 수정","유지"))))</f>
        <v/>
      </c>
    </row>
    <row r="264">
      <c r="A264" s="27" t="n"/>
      <c r="B264" s="28" t="n"/>
      <c r="C264" s="28" t="n"/>
      <c r="D264" s="28" t="n"/>
      <c r="E264" s="28" t="n"/>
      <c r="F264" s="28" t="n"/>
      <c r="G264" s="29" t="n"/>
      <c r="H264" s="29" t="n"/>
      <c r="I264" s="28" t="n"/>
      <c r="J264" s="28" t="n"/>
      <c r="K264" s="30" t="n"/>
      <c r="L264" s="28" t="n"/>
      <c r="M264" s="27" t="n"/>
      <c r="N264" s="2">
        <f>IF(D264="","",IF(AND(J264&lt;&gt;"",J264&gt;=100,K264&lt;&gt;"",K264&lt;0.02),"제목·메타설명 수정",IF(AND(I264&lt;&gt;"",I264&gt;=8,I264&lt;=20),"본문 보강(표·FAQ·경험)",IF(AND(G264&lt;&gt;"",COUNT($G$2:$G$300)&gt;=5,G264&lt;=PERCENTILE($G$2:$G$300,0.3)),"하위30%: 제목·첫문단 수정","유지"))))</f>
        <v/>
      </c>
    </row>
    <row r="265">
      <c r="A265" s="27" t="n"/>
      <c r="B265" s="28" t="n"/>
      <c r="C265" s="28" t="n"/>
      <c r="D265" s="28" t="n"/>
      <c r="E265" s="28" t="n"/>
      <c r="F265" s="28" t="n"/>
      <c r="G265" s="29" t="n"/>
      <c r="H265" s="29" t="n"/>
      <c r="I265" s="28" t="n"/>
      <c r="J265" s="28" t="n"/>
      <c r="K265" s="30" t="n"/>
      <c r="L265" s="28" t="n"/>
      <c r="M265" s="27" t="n"/>
      <c r="N265" s="2">
        <f>IF(D265="","",IF(AND(J265&lt;&gt;"",J265&gt;=100,K265&lt;&gt;"",K265&lt;0.02),"제목·메타설명 수정",IF(AND(I265&lt;&gt;"",I265&gt;=8,I265&lt;=20),"본문 보강(표·FAQ·경험)",IF(AND(G265&lt;&gt;"",COUNT($G$2:$G$300)&gt;=5,G265&lt;=PERCENTILE($G$2:$G$300,0.3)),"하위30%: 제목·첫문단 수정","유지"))))</f>
        <v/>
      </c>
    </row>
    <row r="266">
      <c r="A266" s="27" t="n"/>
      <c r="B266" s="28" t="n"/>
      <c r="C266" s="28" t="n"/>
      <c r="D266" s="28" t="n"/>
      <c r="E266" s="28" t="n"/>
      <c r="F266" s="28" t="n"/>
      <c r="G266" s="29" t="n"/>
      <c r="H266" s="29" t="n"/>
      <c r="I266" s="28" t="n"/>
      <c r="J266" s="28" t="n"/>
      <c r="K266" s="30" t="n"/>
      <c r="L266" s="28" t="n"/>
      <c r="M266" s="27" t="n"/>
      <c r="N266" s="2">
        <f>IF(D266="","",IF(AND(J266&lt;&gt;"",J266&gt;=100,K266&lt;&gt;"",K266&lt;0.02),"제목·메타설명 수정",IF(AND(I266&lt;&gt;"",I266&gt;=8,I266&lt;=20),"본문 보강(표·FAQ·경험)",IF(AND(G266&lt;&gt;"",COUNT($G$2:$G$300)&gt;=5,G266&lt;=PERCENTILE($G$2:$G$300,0.3)),"하위30%: 제목·첫문단 수정","유지"))))</f>
        <v/>
      </c>
    </row>
    <row r="267">
      <c r="A267" s="27" t="n"/>
      <c r="B267" s="28" t="n"/>
      <c r="C267" s="28" t="n"/>
      <c r="D267" s="28" t="n"/>
      <c r="E267" s="28" t="n"/>
      <c r="F267" s="28" t="n"/>
      <c r="G267" s="29" t="n"/>
      <c r="H267" s="29" t="n"/>
      <c r="I267" s="28" t="n"/>
      <c r="J267" s="28" t="n"/>
      <c r="K267" s="30" t="n"/>
      <c r="L267" s="28" t="n"/>
      <c r="M267" s="27" t="n"/>
      <c r="N267" s="2">
        <f>IF(D267="","",IF(AND(J267&lt;&gt;"",J267&gt;=100,K267&lt;&gt;"",K267&lt;0.02),"제목·메타설명 수정",IF(AND(I267&lt;&gt;"",I267&gt;=8,I267&lt;=20),"본문 보강(표·FAQ·경험)",IF(AND(G267&lt;&gt;"",COUNT($G$2:$G$300)&gt;=5,G267&lt;=PERCENTILE($G$2:$G$300,0.3)),"하위30%: 제목·첫문단 수정","유지"))))</f>
        <v/>
      </c>
    </row>
    <row r="268">
      <c r="A268" s="27" t="n"/>
      <c r="B268" s="28" t="n"/>
      <c r="C268" s="28" t="n"/>
      <c r="D268" s="28" t="n"/>
      <c r="E268" s="28" t="n"/>
      <c r="F268" s="28" t="n"/>
      <c r="G268" s="29" t="n"/>
      <c r="H268" s="29" t="n"/>
      <c r="I268" s="28" t="n"/>
      <c r="J268" s="28" t="n"/>
      <c r="K268" s="30" t="n"/>
      <c r="L268" s="28" t="n"/>
      <c r="M268" s="27" t="n"/>
      <c r="N268" s="2">
        <f>IF(D268="","",IF(AND(J268&lt;&gt;"",J268&gt;=100,K268&lt;&gt;"",K268&lt;0.02),"제목·메타설명 수정",IF(AND(I268&lt;&gt;"",I268&gt;=8,I268&lt;=20),"본문 보강(표·FAQ·경험)",IF(AND(G268&lt;&gt;"",COUNT($G$2:$G$300)&gt;=5,G268&lt;=PERCENTILE($G$2:$G$300,0.3)),"하위30%: 제목·첫문단 수정","유지"))))</f>
        <v/>
      </c>
    </row>
    <row r="269">
      <c r="A269" s="27" t="n"/>
      <c r="B269" s="28" t="n"/>
      <c r="C269" s="28" t="n"/>
      <c r="D269" s="28" t="n"/>
      <c r="E269" s="28" t="n"/>
      <c r="F269" s="28" t="n"/>
      <c r="G269" s="29" t="n"/>
      <c r="H269" s="29" t="n"/>
      <c r="I269" s="28" t="n"/>
      <c r="J269" s="28" t="n"/>
      <c r="K269" s="30" t="n"/>
      <c r="L269" s="28" t="n"/>
      <c r="M269" s="27" t="n"/>
      <c r="N269" s="2">
        <f>IF(D269="","",IF(AND(J269&lt;&gt;"",J269&gt;=100,K269&lt;&gt;"",K269&lt;0.02),"제목·메타설명 수정",IF(AND(I269&lt;&gt;"",I269&gt;=8,I269&lt;=20),"본문 보강(표·FAQ·경험)",IF(AND(G269&lt;&gt;"",COUNT($G$2:$G$300)&gt;=5,G269&lt;=PERCENTILE($G$2:$G$300,0.3)),"하위30%: 제목·첫문단 수정","유지"))))</f>
        <v/>
      </c>
    </row>
    <row r="270">
      <c r="A270" s="27" t="n"/>
      <c r="B270" s="28" t="n"/>
      <c r="C270" s="28" t="n"/>
      <c r="D270" s="28" t="n"/>
      <c r="E270" s="28" t="n"/>
      <c r="F270" s="28" t="n"/>
      <c r="G270" s="29" t="n"/>
      <c r="H270" s="29" t="n"/>
      <c r="I270" s="28" t="n"/>
      <c r="J270" s="28" t="n"/>
      <c r="K270" s="30" t="n"/>
      <c r="L270" s="28" t="n"/>
      <c r="M270" s="27" t="n"/>
      <c r="N270" s="2">
        <f>IF(D270="","",IF(AND(J270&lt;&gt;"",J270&gt;=100,K270&lt;&gt;"",K270&lt;0.02),"제목·메타설명 수정",IF(AND(I270&lt;&gt;"",I270&gt;=8,I270&lt;=20),"본문 보강(표·FAQ·경험)",IF(AND(G270&lt;&gt;"",COUNT($G$2:$G$300)&gt;=5,G270&lt;=PERCENTILE($G$2:$G$300,0.3)),"하위30%: 제목·첫문단 수정","유지"))))</f>
        <v/>
      </c>
    </row>
    <row r="271">
      <c r="A271" s="27" t="n"/>
      <c r="B271" s="28" t="n"/>
      <c r="C271" s="28" t="n"/>
      <c r="D271" s="28" t="n"/>
      <c r="E271" s="28" t="n"/>
      <c r="F271" s="28" t="n"/>
      <c r="G271" s="29" t="n"/>
      <c r="H271" s="29" t="n"/>
      <c r="I271" s="28" t="n"/>
      <c r="J271" s="28" t="n"/>
      <c r="K271" s="30" t="n"/>
      <c r="L271" s="28" t="n"/>
      <c r="M271" s="27" t="n"/>
      <c r="N271" s="2">
        <f>IF(D271="","",IF(AND(J271&lt;&gt;"",J271&gt;=100,K271&lt;&gt;"",K271&lt;0.02),"제목·메타설명 수정",IF(AND(I271&lt;&gt;"",I271&gt;=8,I271&lt;=20),"본문 보강(표·FAQ·경험)",IF(AND(G271&lt;&gt;"",COUNT($G$2:$G$300)&gt;=5,G271&lt;=PERCENTILE($G$2:$G$300,0.3)),"하위30%: 제목·첫문단 수정","유지"))))</f>
        <v/>
      </c>
    </row>
    <row r="272">
      <c r="A272" s="27" t="n"/>
      <c r="B272" s="28" t="n"/>
      <c r="C272" s="28" t="n"/>
      <c r="D272" s="28" t="n"/>
      <c r="E272" s="28" t="n"/>
      <c r="F272" s="28" t="n"/>
      <c r="G272" s="29" t="n"/>
      <c r="H272" s="29" t="n"/>
      <c r="I272" s="28" t="n"/>
      <c r="J272" s="28" t="n"/>
      <c r="K272" s="30" t="n"/>
      <c r="L272" s="28" t="n"/>
      <c r="M272" s="27" t="n"/>
      <c r="N272" s="2">
        <f>IF(D272="","",IF(AND(J272&lt;&gt;"",J272&gt;=100,K272&lt;&gt;"",K272&lt;0.02),"제목·메타설명 수정",IF(AND(I272&lt;&gt;"",I272&gt;=8,I272&lt;=20),"본문 보강(표·FAQ·경험)",IF(AND(G272&lt;&gt;"",COUNT($G$2:$G$300)&gt;=5,G272&lt;=PERCENTILE($G$2:$G$300,0.3)),"하위30%: 제목·첫문단 수정","유지"))))</f>
        <v/>
      </c>
    </row>
    <row r="273">
      <c r="A273" s="27" t="n"/>
      <c r="B273" s="28" t="n"/>
      <c r="C273" s="28" t="n"/>
      <c r="D273" s="28" t="n"/>
      <c r="E273" s="28" t="n"/>
      <c r="F273" s="28" t="n"/>
      <c r="G273" s="29" t="n"/>
      <c r="H273" s="29" t="n"/>
      <c r="I273" s="28" t="n"/>
      <c r="J273" s="28" t="n"/>
      <c r="K273" s="30" t="n"/>
      <c r="L273" s="28" t="n"/>
      <c r="M273" s="27" t="n"/>
      <c r="N273" s="2">
        <f>IF(D273="","",IF(AND(J273&lt;&gt;"",J273&gt;=100,K273&lt;&gt;"",K273&lt;0.02),"제목·메타설명 수정",IF(AND(I273&lt;&gt;"",I273&gt;=8,I273&lt;=20),"본문 보강(표·FAQ·경험)",IF(AND(G273&lt;&gt;"",COUNT($G$2:$G$300)&gt;=5,G273&lt;=PERCENTILE($G$2:$G$300,0.3)),"하위30%: 제목·첫문단 수정","유지"))))</f>
        <v/>
      </c>
    </row>
    <row r="274">
      <c r="A274" s="27" t="n"/>
      <c r="B274" s="28" t="n"/>
      <c r="C274" s="28" t="n"/>
      <c r="D274" s="28" t="n"/>
      <c r="E274" s="28" t="n"/>
      <c r="F274" s="28" t="n"/>
      <c r="G274" s="29" t="n"/>
      <c r="H274" s="29" t="n"/>
      <c r="I274" s="28" t="n"/>
      <c r="J274" s="28" t="n"/>
      <c r="K274" s="30" t="n"/>
      <c r="L274" s="28" t="n"/>
      <c r="M274" s="27" t="n"/>
      <c r="N274" s="2">
        <f>IF(D274="","",IF(AND(J274&lt;&gt;"",J274&gt;=100,K274&lt;&gt;"",K274&lt;0.02),"제목·메타설명 수정",IF(AND(I274&lt;&gt;"",I274&gt;=8,I274&lt;=20),"본문 보강(표·FAQ·경험)",IF(AND(G274&lt;&gt;"",COUNT($G$2:$G$300)&gt;=5,G274&lt;=PERCENTILE($G$2:$G$300,0.3)),"하위30%: 제목·첫문단 수정","유지"))))</f>
        <v/>
      </c>
    </row>
    <row r="275">
      <c r="A275" s="27" t="n"/>
      <c r="B275" s="28" t="n"/>
      <c r="C275" s="28" t="n"/>
      <c r="D275" s="28" t="n"/>
      <c r="E275" s="28" t="n"/>
      <c r="F275" s="28" t="n"/>
      <c r="G275" s="29" t="n"/>
      <c r="H275" s="29" t="n"/>
      <c r="I275" s="28" t="n"/>
      <c r="J275" s="28" t="n"/>
      <c r="K275" s="30" t="n"/>
      <c r="L275" s="28" t="n"/>
      <c r="M275" s="27" t="n"/>
      <c r="N275" s="2">
        <f>IF(D275="","",IF(AND(J275&lt;&gt;"",J275&gt;=100,K275&lt;&gt;"",K275&lt;0.02),"제목·메타설명 수정",IF(AND(I275&lt;&gt;"",I275&gt;=8,I275&lt;=20),"본문 보강(표·FAQ·경험)",IF(AND(G275&lt;&gt;"",COUNT($G$2:$G$300)&gt;=5,G275&lt;=PERCENTILE($G$2:$G$300,0.3)),"하위30%: 제목·첫문단 수정","유지"))))</f>
        <v/>
      </c>
    </row>
    <row r="276">
      <c r="A276" s="27" t="n"/>
      <c r="B276" s="28" t="n"/>
      <c r="C276" s="28" t="n"/>
      <c r="D276" s="28" t="n"/>
      <c r="E276" s="28" t="n"/>
      <c r="F276" s="28" t="n"/>
      <c r="G276" s="29" t="n"/>
      <c r="H276" s="29" t="n"/>
      <c r="I276" s="28" t="n"/>
      <c r="J276" s="28" t="n"/>
      <c r="K276" s="30" t="n"/>
      <c r="L276" s="28" t="n"/>
      <c r="M276" s="27" t="n"/>
      <c r="N276" s="2">
        <f>IF(D276="","",IF(AND(J276&lt;&gt;"",J276&gt;=100,K276&lt;&gt;"",K276&lt;0.02),"제목·메타설명 수정",IF(AND(I276&lt;&gt;"",I276&gt;=8,I276&lt;=20),"본문 보강(표·FAQ·경험)",IF(AND(G276&lt;&gt;"",COUNT($G$2:$G$300)&gt;=5,G276&lt;=PERCENTILE($G$2:$G$300,0.3)),"하위30%: 제목·첫문단 수정","유지"))))</f>
        <v/>
      </c>
    </row>
    <row r="277">
      <c r="A277" s="27" t="n"/>
      <c r="B277" s="28" t="n"/>
      <c r="C277" s="28" t="n"/>
      <c r="D277" s="28" t="n"/>
      <c r="E277" s="28" t="n"/>
      <c r="F277" s="28" t="n"/>
      <c r="G277" s="29" t="n"/>
      <c r="H277" s="29" t="n"/>
      <c r="I277" s="28" t="n"/>
      <c r="J277" s="28" t="n"/>
      <c r="K277" s="30" t="n"/>
      <c r="L277" s="28" t="n"/>
      <c r="M277" s="27" t="n"/>
      <c r="N277" s="2">
        <f>IF(D277="","",IF(AND(J277&lt;&gt;"",J277&gt;=100,K277&lt;&gt;"",K277&lt;0.02),"제목·메타설명 수정",IF(AND(I277&lt;&gt;"",I277&gt;=8,I277&lt;=20),"본문 보강(표·FAQ·경험)",IF(AND(G277&lt;&gt;"",COUNT($G$2:$G$300)&gt;=5,G277&lt;=PERCENTILE($G$2:$G$300,0.3)),"하위30%: 제목·첫문단 수정","유지"))))</f>
        <v/>
      </c>
    </row>
    <row r="278">
      <c r="A278" s="27" t="n"/>
      <c r="B278" s="28" t="n"/>
      <c r="C278" s="28" t="n"/>
      <c r="D278" s="28" t="n"/>
      <c r="E278" s="28" t="n"/>
      <c r="F278" s="28" t="n"/>
      <c r="G278" s="29" t="n"/>
      <c r="H278" s="29" t="n"/>
      <c r="I278" s="28" t="n"/>
      <c r="J278" s="28" t="n"/>
      <c r="K278" s="30" t="n"/>
      <c r="L278" s="28" t="n"/>
      <c r="M278" s="27" t="n"/>
      <c r="N278" s="2">
        <f>IF(D278="","",IF(AND(J278&lt;&gt;"",J278&gt;=100,K278&lt;&gt;"",K278&lt;0.02),"제목·메타설명 수정",IF(AND(I278&lt;&gt;"",I278&gt;=8,I278&lt;=20),"본문 보강(표·FAQ·경험)",IF(AND(G278&lt;&gt;"",COUNT($G$2:$G$300)&gt;=5,G278&lt;=PERCENTILE($G$2:$G$300,0.3)),"하위30%: 제목·첫문단 수정","유지"))))</f>
        <v/>
      </c>
    </row>
    <row r="279">
      <c r="A279" s="27" t="n"/>
      <c r="B279" s="28" t="n"/>
      <c r="C279" s="28" t="n"/>
      <c r="D279" s="28" t="n"/>
      <c r="E279" s="28" t="n"/>
      <c r="F279" s="28" t="n"/>
      <c r="G279" s="29" t="n"/>
      <c r="H279" s="29" t="n"/>
      <c r="I279" s="28" t="n"/>
      <c r="J279" s="28" t="n"/>
      <c r="K279" s="30" t="n"/>
      <c r="L279" s="28" t="n"/>
      <c r="M279" s="27" t="n"/>
      <c r="N279" s="2">
        <f>IF(D279="","",IF(AND(J279&lt;&gt;"",J279&gt;=100,K279&lt;&gt;"",K279&lt;0.02),"제목·메타설명 수정",IF(AND(I279&lt;&gt;"",I279&gt;=8,I279&lt;=20),"본문 보강(표·FAQ·경험)",IF(AND(G279&lt;&gt;"",COUNT($G$2:$G$300)&gt;=5,G279&lt;=PERCENTILE($G$2:$G$300,0.3)),"하위30%: 제목·첫문단 수정","유지"))))</f>
        <v/>
      </c>
    </row>
    <row r="280">
      <c r="A280" s="27" t="n"/>
      <c r="B280" s="28" t="n"/>
      <c r="C280" s="28" t="n"/>
      <c r="D280" s="28" t="n"/>
      <c r="E280" s="28" t="n"/>
      <c r="F280" s="28" t="n"/>
      <c r="G280" s="29" t="n"/>
      <c r="H280" s="29" t="n"/>
      <c r="I280" s="28" t="n"/>
      <c r="J280" s="28" t="n"/>
      <c r="K280" s="30" t="n"/>
      <c r="L280" s="28" t="n"/>
      <c r="M280" s="27" t="n"/>
      <c r="N280" s="2">
        <f>IF(D280="","",IF(AND(J280&lt;&gt;"",J280&gt;=100,K280&lt;&gt;"",K280&lt;0.02),"제목·메타설명 수정",IF(AND(I280&lt;&gt;"",I280&gt;=8,I280&lt;=20),"본문 보강(표·FAQ·경험)",IF(AND(G280&lt;&gt;"",COUNT($G$2:$G$300)&gt;=5,G280&lt;=PERCENTILE($G$2:$G$300,0.3)),"하위30%: 제목·첫문단 수정","유지"))))</f>
        <v/>
      </c>
    </row>
    <row r="281">
      <c r="A281" s="27" t="n"/>
      <c r="B281" s="28" t="n"/>
      <c r="C281" s="28" t="n"/>
      <c r="D281" s="28" t="n"/>
      <c r="E281" s="28" t="n"/>
      <c r="F281" s="28" t="n"/>
      <c r="G281" s="29" t="n"/>
      <c r="H281" s="29" t="n"/>
      <c r="I281" s="28" t="n"/>
      <c r="J281" s="28" t="n"/>
      <c r="K281" s="30" t="n"/>
      <c r="L281" s="28" t="n"/>
      <c r="M281" s="27" t="n"/>
      <c r="N281" s="2">
        <f>IF(D281="","",IF(AND(J281&lt;&gt;"",J281&gt;=100,K281&lt;&gt;"",K281&lt;0.02),"제목·메타설명 수정",IF(AND(I281&lt;&gt;"",I281&gt;=8,I281&lt;=20),"본문 보강(표·FAQ·경험)",IF(AND(G281&lt;&gt;"",COUNT($G$2:$G$300)&gt;=5,G281&lt;=PERCENTILE($G$2:$G$300,0.3)),"하위30%: 제목·첫문단 수정","유지"))))</f>
        <v/>
      </c>
    </row>
    <row r="282">
      <c r="A282" s="27" t="n"/>
      <c r="B282" s="28" t="n"/>
      <c r="C282" s="28" t="n"/>
      <c r="D282" s="28" t="n"/>
      <c r="E282" s="28" t="n"/>
      <c r="F282" s="28" t="n"/>
      <c r="G282" s="29" t="n"/>
      <c r="H282" s="29" t="n"/>
      <c r="I282" s="28" t="n"/>
      <c r="J282" s="28" t="n"/>
      <c r="K282" s="30" t="n"/>
      <c r="L282" s="28" t="n"/>
      <c r="M282" s="27" t="n"/>
      <c r="N282" s="2">
        <f>IF(D282="","",IF(AND(J282&lt;&gt;"",J282&gt;=100,K282&lt;&gt;"",K282&lt;0.02),"제목·메타설명 수정",IF(AND(I282&lt;&gt;"",I282&gt;=8,I282&lt;=20),"본문 보강(표·FAQ·경험)",IF(AND(G282&lt;&gt;"",COUNT($G$2:$G$300)&gt;=5,G282&lt;=PERCENTILE($G$2:$G$300,0.3)),"하위30%: 제목·첫문단 수정","유지"))))</f>
        <v/>
      </c>
    </row>
    <row r="283">
      <c r="A283" s="27" t="n"/>
      <c r="B283" s="28" t="n"/>
      <c r="C283" s="28" t="n"/>
      <c r="D283" s="28" t="n"/>
      <c r="E283" s="28" t="n"/>
      <c r="F283" s="28" t="n"/>
      <c r="G283" s="29" t="n"/>
      <c r="H283" s="29" t="n"/>
      <c r="I283" s="28" t="n"/>
      <c r="J283" s="28" t="n"/>
      <c r="K283" s="30" t="n"/>
      <c r="L283" s="28" t="n"/>
      <c r="M283" s="27" t="n"/>
      <c r="N283" s="2">
        <f>IF(D283="","",IF(AND(J283&lt;&gt;"",J283&gt;=100,K283&lt;&gt;"",K283&lt;0.02),"제목·메타설명 수정",IF(AND(I283&lt;&gt;"",I283&gt;=8,I283&lt;=20),"본문 보강(표·FAQ·경험)",IF(AND(G283&lt;&gt;"",COUNT($G$2:$G$300)&gt;=5,G283&lt;=PERCENTILE($G$2:$G$300,0.3)),"하위30%: 제목·첫문단 수정","유지"))))</f>
        <v/>
      </c>
    </row>
    <row r="284">
      <c r="A284" s="27" t="n"/>
      <c r="B284" s="28" t="n"/>
      <c r="C284" s="28" t="n"/>
      <c r="D284" s="28" t="n"/>
      <c r="E284" s="28" t="n"/>
      <c r="F284" s="28" t="n"/>
      <c r="G284" s="29" t="n"/>
      <c r="H284" s="29" t="n"/>
      <c r="I284" s="28" t="n"/>
      <c r="J284" s="28" t="n"/>
      <c r="K284" s="30" t="n"/>
      <c r="L284" s="28" t="n"/>
      <c r="M284" s="27" t="n"/>
      <c r="N284" s="2">
        <f>IF(D284="","",IF(AND(J284&lt;&gt;"",J284&gt;=100,K284&lt;&gt;"",K284&lt;0.02),"제목·메타설명 수정",IF(AND(I284&lt;&gt;"",I284&gt;=8,I284&lt;=20),"본문 보강(표·FAQ·경험)",IF(AND(G284&lt;&gt;"",COUNT($G$2:$G$300)&gt;=5,G284&lt;=PERCENTILE($G$2:$G$300,0.3)),"하위30%: 제목·첫문단 수정","유지"))))</f>
        <v/>
      </c>
    </row>
    <row r="285">
      <c r="A285" s="27" t="n"/>
      <c r="B285" s="28" t="n"/>
      <c r="C285" s="28" t="n"/>
      <c r="D285" s="28" t="n"/>
      <c r="E285" s="28" t="n"/>
      <c r="F285" s="28" t="n"/>
      <c r="G285" s="29" t="n"/>
      <c r="H285" s="29" t="n"/>
      <c r="I285" s="28" t="n"/>
      <c r="J285" s="28" t="n"/>
      <c r="K285" s="30" t="n"/>
      <c r="L285" s="28" t="n"/>
      <c r="M285" s="27" t="n"/>
      <c r="N285" s="2">
        <f>IF(D285="","",IF(AND(J285&lt;&gt;"",J285&gt;=100,K285&lt;&gt;"",K285&lt;0.02),"제목·메타설명 수정",IF(AND(I285&lt;&gt;"",I285&gt;=8,I285&lt;=20),"본문 보강(표·FAQ·경험)",IF(AND(G285&lt;&gt;"",COUNT($G$2:$G$300)&gt;=5,G285&lt;=PERCENTILE($G$2:$G$300,0.3)),"하위30%: 제목·첫문단 수정","유지"))))</f>
        <v/>
      </c>
    </row>
    <row r="286">
      <c r="A286" s="27" t="n"/>
      <c r="B286" s="28" t="n"/>
      <c r="C286" s="28" t="n"/>
      <c r="D286" s="28" t="n"/>
      <c r="E286" s="28" t="n"/>
      <c r="F286" s="28" t="n"/>
      <c r="G286" s="29" t="n"/>
      <c r="H286" s="29" t="n"/>
      <c r="I286" s="28" t="n"/>
      <c r="J286" s="28" t="n"/>
      <c r="K286" s="30" t="n"/>
      <c r="L286" s="28" t="n"/>
      <c r="M286" s="27" t="n"/>
      <c r="N286" s="2">
        <f>IF(D286="","",IF(AND(J286&lt;&gt;"",J286&gt;=100,K286&lt;&gt;"",K286&lt;0.02),"제목·메타설명 수정",IF(AND(I286&lt;&gt;"",I286&gt;=8,I286&lt;=20),"본문 보강(표·FAQ·경험)",IF(AND(G286&lt;&gt;"",COUNT($G$2:$G$300)&gt;=5,G286&lt;=PERCENTILE($G$2:$G$300,0.3)),"하위30%: 제목·첫문단 수정","유지"))))</f>
        <v/>
      </c>
    </row>
    <row r="287">
      <c r="A287" s="27" t="n"/>
      <c r="B287" s="28" t="n"/>
      <c r="C287" s="28" t="n"/>
      <c r="D287" s="28" t="n"/>
      <c r="E287" s="28" t="n"/>
      <c r="F287" s="28" t="n"/>
      <c r="G287" s="29" t="n"/>
      <c r="H287" s="29" t="n"/>
      <c r="I287" s="28" t="n"/>
      <c r="J287" s="28" t="n"/>
      <c r="K287" s="30" t="n"/>
      <c r="L287" s="28" t="n"/>
      <c r="M287" s="27" t="n"/>
      <c r="N287" s="2">
        <f>IF(D287="","",IF(AND(J287&lt;&gt;"",J287&gt;=100,K287&lt;&gt;"",K287&lt;0.02),"제목·메타설명 수정",IF(AND(I287&lt;&gt;"",I287&gt;=8,I287&lt;=20),"본문 보강(표·FAQ·경험)",IF(AND(G287&lt;&gt;"",COUNT($G$2:$G$300)&gt;=5,G287&lt;=PERCENTILE($G$2:$G$300,0.3)),"하위30%: 제목·첫문단 수정","유지"))))</f>
        <v/>
      </c>
    </row>
    <row r="288">
      <c r="A288" s="27" t="n"/>
      <c r="B288" s="28" t="n"/>
      <c r="C288" s="28" t="n"/>
      <c r="D288" s="28" t="n"/>
      <c r="E288" s="28" t="n"/>
      <c r="F288" s="28" t="n"/>
      <c r="G288" s="29" t="n"/>
      <c r="H288" s="29" t="n"/>
      <c r="I288" s="28" t="n"/>
      <c r="J288" s="28" t="n"/>
      <c r="K288" s="30" t="n"/>
      <c r="L288" s="28" t="n"/>
      <c r="M288" s="27" t="n"/>
      <c r="N288" s="2">
        <f>IF(D288="","",IF(AND(J288&lt;&gt;"",J288&gt;=100,K288&lt;&gt;"",K288&lt;0.02),"제목·메타설명 수정",IF(AND(I288&lt;&gt;"",I288&gt;=8,I288&lt;=20),"본문 보강(표·FAQ·경험)",IF(AND(G288&lt;&gt;"",COUNT($G$2:$G$300)&gt;=5,G288&lt;=PERCENTILE($G$2:$G$300,0.3)),"하위30%: 제목·첫문단 수정","유지"))))</f>
        <v/>
      </c>
    </row>
    <row r="289">
      <c r="A289" s="27" t="n"/>
      <c r="B289" s="28" t="n"/>
      <c r="C289" s="28" t="n"/>
      <c r="D289" s="28" t="n"/>
      <c r="E289" s="28" t="n"/>
      <c r="F289" s="28" t="n"/>
      <c r="G289" s="29" t="n"/>
      <c r="H289" s="29" t="n"/>
      <c r="I289" s="28" t="n"/>
      <c r="J289" s="28" t="n"/>
      <c r="K289" s="30" t="n"/>
      <c r="L289" s="28" t="n"/>
      <c r="M289" s="27" t="n"/>
      <c r="N289" s="2">
        <f>IF(D289="","",IF(AND(J289&lt;&gt;"",J289&gt;=100,K289&lt;&gt;"",K289&lt;0.02),"제목·메타설명 수정",IF(AND(I289&lt;&gt;"",I289&gt;=8,I289&lt;=20),"본문 보강(표·FAQ·경험)",IF(AND(G289&lt;&gt;"",COUNT($G$2:$G$300)&gt;=5,G289&lt;=PERCENTILE($G$2:$G$300,0.3)),"하위30%: 제목·첫문단 수정","유지"))))</f>
        <v/>
      </c>
    </row>
    <row r="290">
      <c r="A290" s="27" t="n"/>
      <c r="B290" s="28" t="n"/>
      <c r="C290" s="28" t="n"/>
      <c r="D290" s="28" t="n"/>
      <c r="E290" s="28" t="n"/>
      <c r="F290" s="28" t="n"/>
      <c r="G290" s="29" t="n"/>
      <c r="H290" s="29" t="n"/>
      <c r="I290" s="28" t="n"/>
      <c r="J290" s="28" t="n"/>
      <c r="K290" s="30" t="n"/>
      <c r="L290" s="28" t="n"/>
      <c r="M290" s="27" t="n"/>
      <c r="N290" s="2">
        <f>IF(D290="","",IF(AND(J290&lt;&gt;"",J290&gt;=100,K290&lt;&gt;"",K290&lt;0.02),"제목·메타설명 수정",IF(AND(I290&lt;&gt;"",I290&gt;=8,I290&lt;=20),"본문 보강(표·FAQ·경험)",IF(AND(G290&lt;&gt;"",COUNT($G$2:$G$300)&gt;=5,G290&lt;=PERCENTILE($G$2:$G$300,0.3)),"하위30%: 제목·첫문단 수정","유지"))))</f>
        <v/>
      </c>
    </row>
    <row r="291">
      <c r="A291" s="27" t="n"/>
      <c r="B291" s="28" t="n"/>
      <c r="C291" s="28" t="n"/>
      <c r="D291" s="28" t="n"/>
      <c r="E291" s="28" t="n"/>
      <c r="F291" s="28" t="n"/>
      <c r="G291" s="29" t="n"/>
      <c r="H291" s="29" t="n"/>
      <c r="I291" s="28" t="n"/>
      <c r="J291" s="28" t="n"/>
      <c r="K291" s="30" t="n"/>
      <c r="L291" s="28" t="n"/>
      <c r="M291" s="27" t="n"/>
      <c r="N291" s="2">
        <f>IF(D291="","",IF(AND(J291&lt;&gt;"",J291&gt;=100,K291&lt;&gt;"",K291&lt;0.02),"제목·메타설명 수정",IF(AND(I291&lt;&gt;"",I291&gt;=8,I291&lt;=20),"본문 보강(표·FAQ·경험)",IF(AND(G291&lt;&gt;"",COUNT($G$2:$G$300)&gt;=5,G291&lt;=PERCENTILE($G$2:$G$300,0.3)),"하위30%: 제목·첫문단 수정","유지"))))</f>
        <v/>
      </c>
    </row>
    <row r="292">
      <c r="A292" s="27" t="n"/>
      <c r="B292" s="28" t="n"/>
      <c r="C292" s="28" t="n"/>
      <c r="D292" s="28" t="n"/>
      <c r="E292" s="28" t="n"/>
      <c r="F292" s="28" t="n"/>
      <c r="G292" s="29" t="n"/>
      <c r="H292" s="29" t="n"/>
      <c r="I292" s="28" t="n"/>
      <c r="J292" s="28" t="n"/>
      <c r="K292" s="30" t="n"/>
      <c r="L292" s="28" t="n"/>
      <c r="M292" s="27" t="n"/>
      <c r="N292" s="2">
        <f>IF(D292="","",IF(AND(J292&lt;&gt;"",J292&gt;=100,K292&lt;&gt;"",K292&lt;0.02),"제목·메타설명 수정",IF(AND(I292&lt;&gt;"",I292&gt;=8,I292&lt;=20),"본문 보강(표·FAQ·경험)",IF(AND(G292&lt;&gt;"",COUNT($G$2:$G$300)&gt;=5,G292&lt;=PERCENTILE($G$2:$G$300,0.3)),"하위30%: 제목·첫문단 수정","유지"))))</f>
        <v/>
      </c>
    </row>
    <row r="293">
      <c r="A293" s="27" t="n"/>
      <c r="B293" s="28" t="n"/>
      <c r="C293" s="28" t="n"/>
      <c r="D293" s="28" t="n"/>
      <c r="E293" s="28" t="n"/>
      <c r="F293" s="28" t="n"/>
      <c r="G293" s="29" t="n"/>
      <c r="H293" s="29" t="n"/>
      <c r="I293" s="28" t="n"/>
      <c r="J293" s="28" t="n"/>
      <c r="K293" s="30" t="n"/>
      <c r="L293" s="28" t="n"/>
      <c r="M293" s="27" t="n"/>
      <c r="N293" s="2">
        <f>IF(D293="","",IF(AND(J293&lt;&gt;"",J293&gt;=100,K293&lt;&gt;"",K293&lt;0.02),"제목·메타설명 수정",IF(AND(I293&lt;&gt;"",I293&gt;=8,I293&lt;=20),"본문 보강(표·FAQ·경험)",IF(AND(G293&lt;&gt;"",COUNT($G$2:$G$300)&gt;=5,G293&lt;=PERCENTILE($G$2:$G$300,0.3)),"하위30%: 제목·첫문단 수정","유지"))))</f>
        <v/>
      </c>
    </row>
    <row r="294">
      <c r="A294" s="27" t="n"/>
      <c r="B294" s="28" t="n"/>
      <c r="C294" s="28" t="n"/>
      <c r="D294" s="28" t="n"/>
      <c r="E294" s="28" t="n"/>
      <c r="F294" s="28" t="n"/>
      <c r="G294" s="29" t="n"/>
      <c r="H294" s="29" t="n"/>
      <c r="I294" s="28" t="n"/>
      <c r="J294" s="28" t="n"/>
      <c r="K294" s="30" t="n"/>
      <c r="L294" s="28" t="n"/>
      <c r="M294" s="27" t="n"/>
      <c r="N294" s="2">
        <f>IF(D294="","",IF(AND(J294&lt;&gt;"",J294&gt;=100,K294&lt;&gt;"",K294&lt;0.02),"제목·메타설명 수정",IF(AND(I294&lt;&gt;"",I294&gt;=8,I294&lt;=20),"본문 보강(표·FAQ·경험)",IF(AND(G294&lt;&gt;"",COUNT($G$2:$G$300)&gt;=5,G294&lt;=PERCENTILE($G$2:$G$300,0.3)),"하위30%: 제목·첫문단 수정","유지"))))</f>
        <v/>
      </c>
    </row>
    <row r="295">
      <c r="A295" s="27" t="n"/>
      <c r="B295" s="28" t="n"/>
      <c r="C295" s="28" t="n"/>
      <c r="D295" s="28" t="n"/>
      <c r="E295" s="28" t="n"/>
      <c r="F295" s="28" t="n"/>
      <c r="G295" s="29" t="n"/>
      <c r="H295" s="29" t="n"/>
      <c r="I295" s="28" t="n"/>
      <c r="J295" s="28" t="n"/>
      <c r="K295" s="30" t="n"/>
      <c r="L295" s="28" t="n"/>
      <c r="M295" s="27" t="n"/>
      <c r="N295" s="2">
        <f>IF(D295="","",IF(AND(J295&lt;&gt;"",J295&gt;=100,K295&lt;&gt;"",K295&lt;0.02),"제목·메타설명 수정",IF(AND(I295&lt;&gt;"",I295&gt;=8,I295&lt;=20),"본문 보강(표·FAQ·경험)",IF(AND(G295&lt;&gt;"",COUNT($G$2:$G$300)&gt;=5,G295&lt;=PERCENTILE($G$2:$G$300,0.3)),"하위30%: 제목·첫문단 수정","유지"))))</f>
        <v/>
      </c>
    </row>
    <row r="296">
      <c r="A296" s="27" t="n"/>
      <c r="B296" s="28" t="n"/>
      <c r="C296" s="28" t="n"/>
      <c r="D296" s="28" t="n"/>
      <c r="E296" s="28" t="n"/>
      <c r="F296" s="28" t="n"/>
      <c r="G296" s="29" t="n"/>
      <c r="H296" s="29" t="n"/>
      <c r="I296" s="28" t="n"/>
      <c r="J296" s="28" t="n"/>
      <c r="K296" s="30" t="n"/>
      <c r="L296" s="28" t="n"/>
      <c r="M296" s="27" t="n"/>
      <c r="N296" s="2">
        <f>IF(D296="","",IF(AND(J296&lt;&gt;"",J296&gt;=100,K296&lt;&gt;"",K296&lt;0.02),"제목·메타설명 수정",IF(AND(I296&lt;&gt;"",I296&gt;=8,I296&lt;=20),"본문 보강(표·FAQ·경험)",IF(AND(G296&lt;&gt;"",COUNT($G$2:$G$300)&gt;=5,G296&lt;=PERCENTILE($G$2:$G$300,0.3)),"하위30%: 제목·첫문단 수정","유지"))))</f>
        <v/>
      </c>
    </row>
    <row r="297">
      <c r="A297" s="27" t="n"/>
      <c r="B297" s="28" t="n"/>
      <c r="C297" s="28" t="n"/>
      <c r="D297" s="28" t="n"/>
      <c r="E297" s="28" t="n"/>
      <c r="F297" s="28" t="n"/>
      <c r="G297" s="29" t="n"/>
      <c r="H297" s="29" t="n"/>
      <c r="I297" s="28" t="n"/>
      <c r="J297" s="28" t="n"/>
      <c r="K297" s="30" t="n"/>
      <c r="L297" s="28" t="n"/>
      <c r="M297" s="27" t="n"/>
      <c r="N297" s="2">
        <f>IF(D297="","",IF(AND(J297&lt;&gt;"",J297&gt;=100,K297&lt;&gt;"",K297&lt;0.02),"제목·메타설명 수정",IF(AND(I297&lt;&gt;"",I297&gt;=8,I297&lt;=20),"본문 보강(표·FAQ·경험)",IF(AND(G297&lt;&gt;"",COUNT($G$2:$G$300)&gt;=5,G297&lt;=PERCENTILE($G$2:$G$300,0.3)),"하위30%: 제목·첫문단 수정","유지"))))</f>
        <v/>
      </c>
    </row>
    <row r="298">
      <c r="A298" s="27" t="n"/>
      <c r="B298" s="28" t="n"/>
      <c r="C298" s="28" t="n"/>
      <c r="D298" s="28" t="n"/>
      <c r="E298" s="28" t="n"/>
      <c r="F298" s="28" t="n"/>
      <c r="G298" s="29" t="n"/>
      <c r="H298" s="29" t="n"/>
      <c r="I298" s="28" t="n"/>
      <c r="J298" s="28" t="n"/>
      <c r="K298" s="30" t="n"/>
      <c r="L298" s="28" t="n"/>
      <c r="M298" s="27" t="n"/>
      <c r="N298" s="2">
        <f>IF(D298="","",IF(AND(J298&lt;&gt;"",J298&gt;=100,K298&lt;&gt;"",K298&lt;0.02),"제목·메타설명 수정",IF(AND(I298&lt;&gt;"",I298&gt;=8,I298&lt;=20),"본문 보강(표·FAQ·경험)",IF(AND(G298&lt;&gt;"",COUNT($G$2:$G$300)&gt;=5,G298&lt;=PERCENTILE($G$2:$G$300,0.3)),"하위30%: 제목·첫문단 수정","유지"))))</f>
        <v/>
      </c>
    </row>
    <row r="299">
      <c r="A299" s="27" t="n"/>
      <c r="B299" s="28" t="n"/>
      <c r="C299" s="28" t="n"/>
      <c r="D299" s="28" t="n"/>
      <c r="E299" s="28" t="n"/>
      <c r="F299" s="28" t="n"/>
      <c r="G299" s="29" t="n"/>
      <c r="H299" s="29" t="n"/>
      <c r="I299" s="28" t="n"/>
      <c r="J299" s="28" t="n"/>
      <c r="K299" s="30" t="n"/>
      <c r="L299" s="28" t="n"/>
      <c r="M299" s="27" t="n"/>
      <c r="N299" s="2">
        <f>IF(D299="","",IF(AND(J299&lt;&gt;"",J299&gt;=100,K299&lt;&gt;"",K299&lt;0.02),"제목·메타설명 수정",IF(AND(I299&lt;&gt;"",I299&gt;=8,I299&lt;=20),"본문 보강(표·FAQ·경험)",IF(AND(G299&lt;&gt;"",COUNT($G$2:$G$300)&gt;=5,G299&lt;=PERCENTILE($G$2:$G$300,0.3)),"하위30%: 제목·첫문단 수정","유지"))))</f>
        <v/>
      </c>
    </row>
    <row r="300">
      <c r="A300" s="27" t="n"/>
      <c r="B300" s="28" t="n"/>
      <c r="C300" s="28" t="n"/>
      <c r="D300" s="28" t="n"/>
      <c r="E300" s="28" t="n"/>
      <c r="F300" s="28" t="n"/>
      <c r="G300" s="29" t="n"/>
      <c r="H300" s="29" t="n"/>
      <c r="I300" s="28" t="n"/>
      <c r="J300" s="28" t="n"/>
      <c r="K300" s="30" t="n"/>
      <c r="L300" s="28" t="n"/>
      <c r="M300" s="27" t="n"/>
      <c r="N300" s="2">
        <f>IF(D300="","",IF(AND(J300&lt;&gt;"",J300&gt;=100,K300&lt;&gt;"",K300&lt;0.02),"제목·메타설명 수정",IF(AND(I300&lt;&gt;"",I300&gt;=8,I300&lt;=20),"본문 보강(표·FAQ·경험)",IF(AND(G300&lt;&gt;"",COUNT($G$2:$G$300)&gt;=5,G300&lt;=PERCENTILE($G$2:$G$300,0.3)),"하위30%: 제목·첫문단 수정","유지"))))</f>
        <v/>
      </c>
    </row>
  </sheetData>
  <dataValidations count="3">
    <dataValidation sqref="B2:B300" showDropDown="0" showInputMessage="0" showErrorMessage="0" allowBlank="1" type="list">
      <formula1>"네이버,티스토리"</formula1>
    </dataValidation>
    <dataValidation sqref="C2:C300" showDropDown="0" showInputMessage="0" showErrorMessage="0" allowBlank="1" type="list">
      <formula1>"A.ISA,B.연금·절세,C.배당ETF,D.테마ETF,E.정책속보,기타"</formula1>
    </dataValidation>
    <dataValidation sqref="L2:L3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1" customWidth="1" min="5" max="5"/>
    <col width="11" customWidth="1" min="6" max="6"/>
    <col width="11" customWidth="1" min="7" max="7"/>
    <col width="12" customWidth="1" min="8" max="8"/>
    <col width="10" customWidth="1" min="9" max="9"/>
    <col width="40" customWidth="1" min="10" max="10"/>
    <col width="80" customWidth="1" min="12" max="12"/>
  </cols>
  <sheetData>
    <row r="1" ht="32" customHeight="1">
      <c r="A1" s="6" t="inlineStr">
        <is>
          <t>키워드</t>
        </is>
      </c>
      <c r="B1" s="6" t="inlineStr">
        <is>
          <t>클러스터</t>
        </is>
      </c>
      <c r="C1" s="6" t="inlineStr">
        <is>
          <t>대상 플랫폼</t>
        </is>
      </c>
      <c r="D1" s="6" t="inlineStr">
        <is>
          <t>월간 검색수(네이버)</t>
        </is>
      </c>
      <c r="E1" s="6" t="inlineStr">
        <is>
          <t>경쟁도(1~5)</t>
        </is>
      </c>
      <c r="F1" s="6" t="inlineStr">
        <is>
          <t>시즌 가중치</t>
        </is>
      </c>
      <c r="G1" s="6" t="inlineStr">
        <is>
          <t>검색수 점수</t>
        </is>
      </c>
      <c r="H1" s="6" t="inlineStr">
        <is>
          <t>우선순위 점수</t>
        </is>
      </c>
      <c r="I1" s="6" t="inlineStr">
        <is>
          <t>상태</t>
        </is>
      </c>
      <c r="J1" s="6" t="inlineStr">
        <is>
          <t>메모</t>
        </is>
      </c>
      <c r="L1" s="3" t="inlineStr">
        <is>
          <t>안내</t>
        </is>
      </c>
    </row>
    <row r="2">
      <c r="A2" s="9" t="inlineStr">
        <is>
          <t>ISA 개편 철회</t>
        </is>
      </c>
      <c r="B2" s="9" t="inlineStr">
        <is>
          <t>A.ISA</t>
        </is>
      </c>
      <c r="C2" s="9" t="inlineStr">
        <is>
          <t>네이버</t>
        </is>
      </c>
      <c r="D2" s="15" t="n"/>
      <c r="E2" s="8" t="n"/>
      <c r="F2" s="9" t="n">
        <v>1.5</v>
      </c>
      <c r="G2" s="7">
        <f>IF(D2="","",IF(D2&lt;300,1,IF(D2&lt;1000,2,IF(D2&lt;5000,4,IF(D2&lt;30000,5,3)))))</f>
        <v/>
      </c>
      <c r="H2" s="7">
        <f>IF(OR(G2="",E2="",E2=0),"",ROUND(G2*F2/E2,2))</f>
        <v/>
      </c>
      <c r="I2" s="9" t="inlineStr">
        <is>
          <t>대기</t>
        </is>
      </c>
      <c r="J2" s="9" t="inlineStr">
        <is>
          <t>정책 속보, 9/1 확정</t>
        </is>
      </c>
      <c r="L2" s="2" t="inlineStr">
        <is>
          <t>키워드 15개는 전략 문서의 클러스터에서 뽑은 시드입니다.</t>
        </is>
      </c>
    </row>
    <row r="3">
      <c r="A3" s="9" t="inlineStr">
        <is>
          <t>생산적금융 ISA 가입조건</t>
        </is>
      </c>
      <c r="B3" s="9" t="inlineStr">
        <is>
          <t>A.ISA</t>
        </is>
      </c>
      <c r="C3" s="9" t="inlineStr">
        <is>
          <t>둘 다</t>
        </is>
      </c>
      <c r="D3" s="15" t="n"/>
      <c r="E3" s="8" t="n"/>
      <c r="F3" s="9" t="n">
        <v>1.5</v>
      </c>
      <c r="G3" s="7">
        <f>IF(D3="","",IF(D3&lt;300,1,IF(D3&lt;1000,2,IF(D3&lt;5000,4,IF(D3&lt;30000,5,3)))))</f>
        <v/>
      </c>
      <c r="H3" s="7">
        <f>IF(OR(G3="",E3="",E3=0),"",ROUND(G3*F3/E3,2))</f>
        <v/>
      </c>
      <c r="I3" s="9" t="inlineStr">
        <is>
          <t>대기</t>
        </is>
      </c>
      <c r="J3" s="9" t="inlineStr">
        <is>
          <t>출시 전후 급증 예상</t>
        </is>
      </c>
      <c r="L3" s="2" t="inlineStr">
        <is>
          <t>월간 검색수·경쟁도는 비어 있습니다: 네이버 검색광고 → 키워드도구에서 확인해 입력하세요.</t>
        </is>
      </c>
    </row>
    <row r="4">
      <c r="A4" s="9" t="inlineStr">
        <is>
          <t>생산적금융 ISA 일반 ISA 차이</t>
        </is>
      </c>
      <c r="B4" s="9" t="inlineStr">
        <is>
          <t>A.ISA</t>
        </is>
      </c>
      <c r="C4" s="9" t="inlineStr">
        <is>
          <t>티스토리</t>
        </is>
      </c>
      <c r="D4" s="15" t="n"/>
      <c r="E4" s="8" t="n"/>
      <c r="F4" s="9" t="n">
        <v>1.3</v>
      </c>
      <c r="G4" s="7">
        <f>IF(D4="","",IF(D4&lt;300,1,IF(D4&lt;1000,2,IF(D4&lt;5000,4,IF(D4&lt;30000,5,3)))))</f>
        <v/>
      </c>
      <c r="H4" s="7">
        <f>IF(OR(G4="",E4="",E4=0),"",ROUND(G4*F4/E4,2))</f>
        <v/>
      </c>
      <c r="I4" s="9" t="inlineStr">
        <is>
          <t>대기</t>
        </is>
      </c>
      <c r="J4" s="9" t="inlineStr">
        <is>
          <t>비교표 글</t>
        </is>
      </c>
      <c r="L4" s="2" t="inlineStr">
        <is>
          <t>검색수 점수: 300 미만=1, 1천 미만=2, 5천 미만=4, 3만 미만=5, 3만 이상=3 (대형 키워드는 경쟁이 심해 감점)</t>
        </is>
      </c>
    </row>
    <row r="5">
      <c r="A5" s="9" t="inlineStr">
        <is>
          <t>ISA 계좌 ETF 추천</t>
        </is>
      </c>
      <c r="B5" s="9" t="inlineStr">
        <is>
          <t>A.ISA</t>
        </is>
      </c>
      <c r="C5" s="9" t="inlineStr">
        <is>
          <t>티스토리</t>
        </is>
      </c>
      <c r="D5" s="15" t="n"/>
      <c r="E5" s="8" t="n"/>
      <c r="F5" s="9" t="n">
        <v>1.2</v>
      </c>
      <c r="G5" s="7">
        <f>IF(D5="","",IF(D5&lt;300,1,IF(D5&lt;1000,2,IF(D5&lt;5000,4,IF(D5&lt;30000,5,3)))))</f>
        <v/>
      </c>
      <c r="H5" s="7">
        <f>IF(OR(G5="",E5="",E5=0),"",ROUND(G5*F5/E5,2))</f>
        <v/>
      </c>
      <c r="I5" s="9" t="inlineStr">
        <is>
          <t>대기</t>
        </is>
      </c>
      <c r="J5" s="9" t="inlineStr">
        <is>
          <t>에버그린</t>
        </is>
      </c>
      <c r="L5" s="2" t="inlineStr">
        <is>
          <t>시즌 가중치(2026년 4분기 기준 추정): 1.5=지금 피크, 1.0=평소</t>
        </is>
      </c>
    </row>
    <row r="6">
      <c r="A6" s="9" t="inlineStr">
        <is>
          <t>ISA 만기 연금저축 이체</t>
        </is>
      </c>
      <c r="B6" s="9" t="inlineStr">
        <is>
          <t>A.ISA</t>
        </is>
      </c>
      <c r="C6" s="9" t="inlineStr">
        <is>
          <t>둘 다</t>
        </is>
      </c>
      <c r="D6" s="15" t="n"/>
      <c r="E6" s="8" t="n"/>
      <c r="F6" s="9" t="n">
        <v>1.2</v>
      </c>
      <c r="G6" s="7">
        <f>IF(D6="","",IF(D6&lt;300,1,IF(D6&lt;1000,2,IF(D6&lt;5000,4,IF(D6&lt;30000,5,3)))))</f>
        <v/>
      </c>
      <c r="H6" s="7">
        <f>IF(OR(G6="",E6="",E6=0),"",ROUND(G6*F6/E6,2))</f>
        <v/>
      </c>
      <c r="I6" s="9" t="inlineStr">
        <is>
          <t>대기</t>
        </is>
      </c>
      <c r="J6" s="9" t="inlineStr">
        <is>
          <t>10% 최대 300만 원 추가 세액공제</t>
        </is>
      </c>
      <c r="L6" s="2" t="inlineStr">
        <is>
          <t>우선순위 점수 = 검색수 점수 × 시즌 가중치 ÷ 경쟁도 → 높은 순으로 정렬해 작성</t>
        </is>
      </c>
    </row>
    <row r="7">
      <c r="A7" s="9" t="inlineStr">
        <is>
          <t>연금저축 세액공제 한도</t>
        </is>
      </c>
      <c r="B7" s="9" t="inlineStr">
        <is>
          <t>B.연금·절세</t>
        </is>
      </c>
      <c r="C7" s="9" t="inlineStr">
        <is>
          <t>티스토리</t>
        </is>
      </c>
      <c r="D7" s="15" t="n"/>
      <c r="E7" s="8" t="n"/>
      <c r="F7" s="9" t="n">
        <v>1.5</v>
      </c>
      <c r="G7" s="7">
        <f>IF(D7="","",IF(D7&lt;300,1,IF(D7&lt;1000,2,IF(D7&lt;5000,4,IF(D7&lt;30000,5,3)))))</f>
        <v/>
      </c>
      <c r="H7" s="7">
        <f>IF(OR(G7="",E7="",E7=0),"",ROUND(G7*F7/E7,2))</f>
        <v/>
      </c>
      <c r="I7" s="9" t="inlineStr">
        <is>
          <t>대기</t>
        </is>
      </c>
      <c r="J7" s="9" t="inlineStr">
        <is>
          <t>11~12월 피크</t>
        </is>
      </c>
    </row>
    <row r="8">
      <c r="A8" s="9" t="inlineStr">
        <is>
          <t>IRP ETF 투자 방법</t>
        </is>
      </c>
      <c r="B8" s="9" t="inlineStr">
        <is>
          <t>B.연금·절세</t>
        </is>
      </c>
      <c r="C8" s="9" t="inlineStr">
        <is>
          <t>티스토리</t>
        </is>
      </c>
      <c r="D8" s="15" t="n"/>
      <c r="E8" s="8" t="n"/>
      <c r="F8" s="9" t="n">
        <v>1.3</v>
      </c>
      <c r="G8" s="7">
        <f>IF(D8="","",IF(D8&lt;300,1,IF(D8&lt;1000,2,IF(D8&lt;5000,4,IF(D8&lt;30000,5,3)))))</f>
        <v/>
      </c>
      <c r="H8" s="7">
        <f>IF(OR(G8="",E8="",E8=0),"",ROUND(G8*F8/E8,2))</f>
        <v/>
      </c>
      <c r="I8" s="9" t="inlineStr">
        <is>
          <t>대기</t>
        </is>
      </c>
      <c r="J8" s="9" t="inlineStr"/>
    </row>
    <row r="9">
      <c r="A9" s="9" t="inlineStr">
        <is>
          <t>연말 절세 체크리스트</t>
        </is>
      </c>
      <c r="B9" s="9" t="inlineStr">
        <is>
          <t>B.연금·절세</t>
        </is>
      </c>
      <c r="C9" s="9" t="inlineStr">
        <is>
          <t>네이버</t>
        </is>
      </c>
      <c r="D9" s="15" t="n"/>
      <c r="E9" s="8" t="n"/>
      <c r="F9" s="9" t="n">
        <v>1.5</v>
      </c>
      <c r="G9" s="7">
        <f>IF(D9="","",IF(D9&lt;300,1,IF(D9&lt;1000,2,IF(D9&lt;5000,4,IF(D9&lt;30000,5,3)))))</f>
        <v/>
      </c>
      <c r="H9" s="7">
        <f>IF(OR(G9="",E9="",E9=0),"",ROUND(G9*F9/E9,2))</f>
        <v/>
      </c>
      <c r="I9" s="9" t="inlineStr">
        <is>
          <t>대기</t>
        </is>
      </c>
      <c r="J9" s="9" t="inlineStr">
        <is>
          <t>12월 마감</t>
        </is>
      </c>
    </row>
    <row r="10">
      <c r="A10" s="9" t="inlineStr">
        <is>
          <t>퇴직연금 안전자산 30% ETF</t>
        </is>
      </c>
      <c r="B10" s="9" t="inlineStr">
        <is>
          <t>B.연금·절세</t>
        </is>
      </c>
      <c r="C10" s="9" t="inlineStr">
        <is>
          <t>티스토리</t>
        </is>
      </c>
      <c r="D10" s="15" t="n"/>
      <c r="E10" s="8" t="n"/>
      <c r="F10" s="9" t="n">
        <v>1.1</v>
      </c>
      <c r="G10" s="7">
        <f>IF(D10="","",IF(D10&lt;300,1,IF(D10&lt;1000,2,IF(D10&lt;5000,4,IF(D10&lt;30000,5,3)))))</f>
        <v/>
      </c>
      <c r="H10" s="7">
        <f>IF(OR(G10="",E10="",E10=0),"",ROUND(G10*F10/E10,2))</f>
        <v/>
      </c>
      <c r="I10" s="9" t="inlineStr">
        <is>
          <t>대기</t>
        </is>
      </c>
      <c r="J10" s="9" t="inlineStr"/>
    </row>
    <row r="11">
      <c r="A11" s="9" t="inlineStr">
        <is>
          <t>고배당 ETF 비교</t>
        </is>
      </c>
      <c r="B11" s="9" t="inlineStr">
        <is>
          <t>C.배당ETF</t>
        </is>
      </c>
      <c r="C11" s="9" t="inlineStr">
        <is>
          <t>둘 다</t>
        </is>
      </c>
      <c r="D11" s="15" t="n"/>
      <c r="E11" s="8" t="n"/>
      <c r="F11" s="9" t="n">
        <v>1.3</v>
      </c>
      <c r="G11" s="7">
        <f>IF(D11="","",IF(D11&lt;300,1,IF(D11&lt;1000,2,IF(D11&lt;5000,4,IF(D11&lt;30000,5,3)))))</f>
        <v/>
      </c>
      <c r="H11" s="7">
        <f>IF(OR(G11="",E11="",E11=0),"",ROUND(G11*F11/E11,2))</f>
        <v/>
      </c>
      <c r="I11" s="9" t="inlineStr">
        <is>
          <t>대기</t>
        </is>
      </c>
      <c r="J11" s="9" t="inlineStr">
        <is>
          <t>세제개편 수혜</t>
        </is>
      </c>
    </row>
    <row r="12">
      <c r="A12" s="9" t="inlineStr">
        <is>
          <t>월배당 ETF 분배금 지급일</t>
        </is>
      </c>
      <c r="B12" s="9" t="inlineStr">
        <is>
          <t>C.배당ETF</t>
        </is>
      </c>
      <c r="C12" s="9" t="inlineStr">
        <is>
          <t>티스토리</t>
        </is>
      </c>
      <c r="D12" s="15" t="n"/>
      <c r="E12" s="8" t="n"/>
      <c r="F12" s="9" t="n">
        <v>1</v>
      </c>
      <c r="G12" s="7">
        <f>IF(D12="","",IF(D12&lt;300,1,IF(D12&lt;1000,2,IF(D12&lt;5000,4,IF(D12&lt;30000,5,3)))))</f>
        <v/>
      </c>
      <c r="H12" s="7">
        <f>IF(OR(G12="",E12="",E12=0),"",ROUND(G12*F12/E12,2))</f>
        <v/>
      </c>
      <c r="I12" s="9" t="inlineStr">
        <is>
          <t>대기</t>
        </is>
      </c>
      <c r="J12" s="9" t="inlineStr">
        <is>
          <t>캘린더형 글</t>
        </is>
      </c>
    </row>
    <row r="13">
      <c r="A13" s="9" t="inlineStr">
        <is>
          <t>커버드콜 ETF 단점</t>
        </is>
      </c>
      <c r="B13" s="9" t="inlineStr">
        <is>
          <t>C.배당ETF</t>
        </is>
      </c>
      <c r="C13" s="9" t="inlineStr">
        <is>
          <t>티스토리</t>
        </is>
      </c>
      <c r="D13" s="15" t="n"/>
      <c r="E13" s="8" t="n"/>
      <c r="F13" s="9" t="n">
        <v>1</v>
      </c>
      <c r="G13" s="7">
        <f>IF(D13="","",IF(D13&lt;300,1,IF(D13&lt;1000,2,IF(D13&lt;5000,4,IF(D13&lt;30000,5,3)))))</f>
        <v/>
      </c>
      <c r="H13" s="7">
        <f>IF(OR(G13="",E13="",E13=0),"",ROUND(G13*F13/E13,2))</f>
        <v/>
      </c>
      <c r="I13" s="9" t="inlineStr">
        <is>
          <t>대기</t>
        </is>
      </c>
      <c r="J13" s="9" t="inlineStr">
        <is>
          <t>위험 설명형</t>
        </is>
      </c>
    </row>
    <row r="14">
      <c r="A14" s="9" t="inlineStr">
        <is>
          <t>AI 반도체 ETF 비교</t>
        </is>
      </c>
      <c r="B14" s="9" t="inlineStr">
        <is>
          <t>D.테마ETF</t>
        </is>
      </c>
      <c r="C14" s="9" t="inlineStr">
        <is>
          <t>둘 다</t>
        </is>
      </c>
      <c r="D14" s="15" t="n"/>
      <c r="E14" s="8" t="n"/>
      <c r="F14" s="9" t="n">
        <v>1</v>
      </c>
      <c r="G14" s="7">
        <f>IF(D14="","",IF(D14&lt;300,1,IF(D14&lt;1000,2,IF(D14&lt;5000,4,IF(D14&lt;30000,5,3)))))</f>
        <v/>
      </c>
      <c r="H14" s="7">
        <f>IF(OR(G14="",E14="",E14=0),"",ROUND(G14*F14/E14,2))</f>
        <v/>
      </c>
      <c r="I14" s="9" t="inlineStr">
        <is>
          <t>대기</t>
        </is>
      </c>
      <c r="J14" s="9" t="inlineStr"/>
    </row>
    <row r="15">
      <c r="A15" s="9" t="inlineStr">
        <is>
          <t>신규 상장 ETF 10월</t>
        </is>
      </c>
      <c r="B15" s="9" t="inlineStr">
        <is>
          <t>D.테마ETF</t>
        </is>
      </c>
      <c r="C15" s="9" t="inlineStr">
        <is>
          <t>네이버</t>
        </is>
      </c>
      <c r="D15" s="15" t="n"/>
      <c r="E15" s="8" t="n"/>
      <c r="F15" s="9" t="n">
        <v>1.2</v>
      </c>
      <c r="G15" s="7">
        <f>IF(D15="","",IF(D15&lt;300,1,IF(D15&lt;1000,2,IF(D15&lt;5000,4,IF(D15&lt;30000,5,3)))))</f>
        <v/>
      </c>
      <c r="H15" s="7">
        <f>IF(OR(G15="",E15="",E15=0),"",ROUND(G15*F15/E15,2))</f>
        <v/>
      </c>
      <c r="I15" s="9" t="inlineStr">
        <is>
          <t>대기</t>
        </is>
      </c>
      <c r="J15" s="9" t="inlineStr">
        <is>
          <t>월간 시리즈</t>
        </is>
      </c>
    </row>
    <row r="16">
      <c r="A16" s="9" t="inlineStr">
        <is>
          <t>세제개편안 국회 통과</t>
        </is>
      </c>
      <c r="B16" s="9" t="inlineStr">
        <is>
          <t>E.정책속보</t>
        </is>
      </c>
      <c r="C16" s="9" t="inlineStr">
        <is>
          <t>네이버</t>
        </is>
      </c>
      <c r="D16" s="15" t="n"/>
      <c r="E16" s="8" t="n"/>
      <c r="F16" s="9" t="n">
        <v>1.5</v>
      </c>
      <c r="G16" s="7">
        <f>IF(D16="","",IF(D16&lt;300,1,IF(D16&lt;1000,2,IF(D16&lt;5000,4,IF(D16&lt;30000,5,3)))))</f>
        <v/>
      </c>
      <c r="H16" s="7">
        <f>IF(OR(G16="",E16="",E16=0),"",ROUND(G16*F16/E16,2))</f>
        <v/>
      </c>
      <c r="I16" s="9" t="inlineStr">
        <is>
          <t>대기</t>
        </is>
      </c>
      <c r="J16" s="9" t="inlineStr">
        <is>
          <t>12월 초 정기국회</t>
        </is>
      </c>
    </row>
    <row r="17">
      <c r="A17" s="9" t="n"/>
      <c r="B17" s="9" t="n"/>
      <c r="C17" s="9" t="n"/>
      <c r="D17" s="15" t="n"/>
      <c r="E17" s="8" t="n"/>
      <c r="F17" s="9" t="n"/>
      <c r="G17" s="7">
        <f>IF(D17="","",IF(D17&lt;300,1,IF(D17&lt;1000,2,IF(D17&lt;5000,4,IF(D17&lt;30000,5,3)))))</f>
        <v/>
      </c>
      <c r="H17" s="7">
        <f>IF(OR(G17="",E17="",E17=0),"",ROUND(G17*F17/E17,2))</f>
        <v/>
      </c>
      <c r="I17" s="9" t="n"/>
      <c r="J17" s="9" t="n"/>
    </row>
    <row r="18">
      <c r="A18" s="9" t="n"/>
      <c r="B18" s="9" t="n"/>
      <c r="C18" s="9" t="n"/>
      <c r="D18" s="15" t="n"/>
      <c r="E18" s="8" t="n"/>
      <c r="F18" s="9" t="n"/>
      <c r="G18" s="7">
        <f>IF(D18="","",IF(D18&lt;300,1,IF(D18&lt;1000,2,IF(D18&lt;5000,4,IF(D18&lt;30000,5,3)))))</f>
        <v/>
      </c>
      <c r="H18" s="7">
        <f>IF(OR(G18="",E18="",E18=0),"",ROUND(G18*F18/E18,2))</f>
        <v/>
      </c>
      <c r="I18" s="9" t="n"/>
      <c r="J18" s="9" t="n"/>
    </row>
    <row r="19">
      <c r="A19" s="9" t="n"/>
      <c r="B19" s="9" t="n"/>
      <c r="C19" s="9" t="n"/>
      <c r="D19" s="15" t="n"/>
      <c r="E19" s="8" t="n"/>
      <c r="F19" s="9" t="n"/>
      <c r="G19" s="7">
        <f>IF(D19="","",IF(D19&lt;300,1,IF(D19&lt;1000,2,IF(D19&lt;5000,4,IF(D19&lt;30000,5,3)))))</f>
        <v/>
      </c>
      <c r="H19" s="7">
        <f>IF(OR(G19="",E19="",E19=0),"",ROUND(G19*F19/E19,2))</f>
        <v/>
      </c>
      <c r="I19" s="9" t="n"/>
      <c r="J19" s="9" t="n"/>
    </row>
    <row r="20">
      <c r="A20" s="9" t="n"/>
      <c r="B20" s="9" t="n"/>
      <c r="C20" s="9" t="n"/>
      <c r="D20" s="15" t="n"/>
      <c r="E20" s="8" t="n"/>
      <c r="F20" s="9" t="n"/>
      <c r="G20" s="7">
        <f>IF(D20="","",IF(D20&lt;300,1,IF(D20&lt;1000,2,IF(D20&lt;5000,4,IF(D20&lt;30000,5,3)))))</f>
        <v/>
      </c>
      <c r="H20" s="7">
        <f>IF(OR(G20="",E20="",E20=0),"",ROUND(G20*F20/E20,2))</f>
        <v/>
      </c>
      <c r="I20" s="9" t="n"/>
      <c r="J20" s="9" t="n"/>
    </row>
    <row r="21">
      <c r="A21" s="9" t="n"/>
      <c r="B21" s="9" t="n"/>
      <c r="C21" s="9" t="n"/>
      <c r="D21" s="15" t="n"/>
      <c r="E21" s="8" t="n"/>
      <c r="F21" s="9" t="n"/>
      <c r="G21" s="7">
        <f>IF(D21="","",IF(D21&lt;300,1,IF(D21&lt;1000,2,IF(D21&lt;5000,4,IF(D21&lt;30000,5,3)))))</f>
        <v/>
      </c>
      <c r="H21" s="7">
        <f>IF(OR(G21="",E21="",E21=0),"",ROUND(G21*F21/E21,2))</f>
        <v/>
      </c>
      <c r="I21" s="9" t="n"/>
      <c r="J21" s="9" t="n"/>
    </row>
    <row r="22">
      <c r="A22" s="9" t="n"/>
      <c r="B22" s="9" t="n"/>
      <c r="C22" s="9" t="n"/>
      <c r="D22" s="15" t="n"/>
      <c r="E22" s="8" t="n"/>
      <c r="F22" s="9" t="n"/>
      <c r="G22" s="7">
        <f>IF(D22="","",IF(D22&lt;300,1,IF(D22&lt;1000,2,IF(D22&lt;5000,4,IF(D22&lt;30000,5,3)))))</f>
        <v/>
      </c>
      <c r="H22" s="7">
        <f>IF(OR(G22="",E22="",E22=0),"",ROUND(G22*F22/E22,2))</f>
        <v/>
      </c>
      <c r="I22" s="9" t="n"/>
      <c r="J22" s="9" t="n"/>
    </row>
    <row r="23">
      <c r="A23" s="9" t="n"/>
      <c r="B23" s="9" t="n"/>
      <c r="C23" s="9" t="n"/>
      <c r="D23" s="15" t="n"/>
      <c r="E23" s="8" t="n"/>
      <c r="F23" s="9" t="n"/>
      <c r="G23" s="7">
        <f>IF(D23="","",IF(D23&lt;300,1,IF(D23&lt;1000,2,IF(D23&lt;5000,4,IF(D23&lt;30000,5,3)))))</f>
        <v/>
      </c>
      <c r="H23" s="7">
        <f>IF(OR(G23="",E23="",E23=0),"",ROUND(G23*F23/E23,2))</f>
        <v/>
      </c>
      <c r="I23" s="9" t="n"/>
      <c r="J23" s="9" t="n"/>
    </row>
    <row r="24">
      <c r="A24" s="9" t="n"/>
      <c r="B24" s="9" t="n"/>
      <c r="C24" s="9" t="n"/>
      <c r="D24" s="15" t="n"/>
      <c r="E24" s="8" t="n"/>
      <c r="F24" s="9" t="n"/>
      <c r="G24" s="7">
        <f>IF(D24="","",IF(D24&lt;300,1,IF(D24&lt;1000,2,IF(D24&lt;5000,4,IF(D24&lt;30000,5,3)))))</f>
        <v/>
      </c>
      <c r="H24" s="7">
        <f>IF(OR(G24="",E24="",E24=0),"",ROUND(G24*F24/E24,2))</f>
        <v/>
      </c>
      <c r="I24" s="9" t="n"/>
      <c r="J24" s="9" t="n"/>
    </row>
    <row r="25">
      <c r="A25" s="9" t="n"/>
      <c r="B25" s="9" t="n"/>
      <c r="C25" s="9" t="n"/>
      <c r="D25" s="15" t="n"/>
      <c r="E25" s="8" t="n"/>
      <c r="F25" s="9" t="n"/>
      <c r="G25" s="7">
        <f>IF(D25="","",IF(D25&lt;300,1,IF(D25&lt;1000,2,IF(D25&lt;5000,4,IF(D25&lt;30000,5,3)))))</f>
        <v/>
      </c>
      <c r="H25" s="7">
        <f>IF(OR(G25="",E25="",E25=0),"",ROUND(G25*F25/E25,2))</f>
        <v/>
      </c>
      <c r="I25" s="9" t="n"/>
      <c r="J25" s="9" t="n"/>
    </row>
    <row r="26">
      <c r="A26" s="9" t="n"/>
      <c r="B26" s="9" t="n"/>
      <c r="C26" s="9" t="n"/>
      <c r="D26" s="15" t="n"/>
      <c r="E26" s="8" t="n"/>
      <c r="F26" s="9" t="n"/>
      <c r="G26" s="7">
        <f>IF(D26="","",IF(D26&lt;300,1,IF(D26&lt;1000,2,IF(D26&lt;5000,4,IF(D26&lt;30000,5,3)))))</f>
        <v/>
      </c>
      <c r="H26" s="7">
        <f>IF(OR(G26="",E26="",E26=0),"",ROUND(G26*F26/E26,2))</f>
        <v/>
      </c>
      <c r="I26" s="9" t="n"/>
      <c r="J26" s="9" t="n"/>
    </row>
    <row r="27">
      <c r="A27" s="9" t="n"/>
      <c r="B27" s="9" t="n"/>
      <c r="C27" s="9" t="n"/>
      <c r="D27" s="15" t="n"/>
      <c r="E27" s="8" t="n"/>
      <c r="F27" s="9" t="n"/>
      <c r="G27" s="7">
        <f>IF(D27="","",IF(D27&lt;300,1,IF(D27&lt;1000,2,IF(D27&lt;5000,4,IF(D27&lt;30000,5,3)))))</f>
        <v/>
      </c>
      <c r="H27" s="7">
        <f>IF(OR(G27="",E27="",E27=0),"",ROUND(G27*F27/E27,2))</f>
        <v/>
      </c>
      <c r="I27" s="9" t="n"/>
      <c r="J27" s="9" t="n"/>
    </row>
    <row r="28">
      <c r="A28" s="9" t="n"/>
      <c r="B28" s="9" t="n"/>
      <c r="C28" s="9" t="n"/>
      <c r="D28" s="15" t="n"/>
      <c r="E28" s="8" t="n"/>
      <c r="F28" s="9" t="n"/>
      <c r="G28" s="7">
        <f>IF(D28="","",IF(D28&lt;300,1,IF(D28&lt;1000,2,IF(D28&lt;5000,4,IF(D28&lt;30000,5,3)))))</f>
        <v/>
      </c>
      <c r="H28" s="7">
        <f>IF(OR(G28="",E28="",E28=0),"",ROUND(G28*F28/E28,2))</f>
        <v/>
      </c>
      <c r="I28" s="9" t="n"/>
      <c r="J28" s="9" t="n"/>
    </row>
    <row r="29">
      <c r="A29" s="9" t="n"/>
      <c r="B29" s="9" t="n"/>
      <c r="C29" s="9" t="n"/>
      <c r="D29" s="15" t="n"/>
      <c r="E29" s="8" t="n"/>
      <c r="F29" s="9" t="n"/>
      <c r="G29" s="7">
        <f>IF(D29="","",IF(D29&lt;300,1,IF(D29&lt;1000,2,IF(D29&lt;5000,4,IF(D29&lt;30000,5,3)))))</f>
        <v/>
      </c>
      <c r="H29" s="7">
        <f>IF(OR(G29="",E29="",E29=0),"",ROUND(G29*F29/E29,2))</f>
        <v/>
      </c>
      <c r="I29" s="9" t="n"/>
      <c r="J29" s="9" t="n"/>
    </row>
    <row r="30">
      <c r="A30" s="9" t="n"/>
      <c r="B30" s="9" t="n"/>
      <c r="C30" s="9" t="n"/>
      <c r="D30" s="15" t="n"/>
      <c r="E30" s="8" t="n"/>
      <c r="F30" s="9" t="n"/>
      <c r="G30" s="7">
        <f>IF(D30="","",IF(D30&lt;300,1,IF(D30&lt;1000,2,IF(D30&lt;5000,4,IF(D30&lt;30000,5,3)))))</f>
        <v/>
      </c>
      <c r="H30" s="7">
        <f>IF(OR(G30="",E30="",E30=0),"",ROUND(G30*F30/E30,2))</f>
        <v/>
      </c>
      <c r="I30" s="9" t="n"/>
      <c r="J30" s="9" t="n"/>
    </row>
    <row r="31">
      <c r="A31" s="9" t="n"/>
      <c r="B31" s="9" t="n"/>
      <c r="C31" s="9" t="n"/>
      <c r="D31" s="15" t="n"/>
      <c r="E31" s="8" t="n"/>
      <c r="F31" s="9" t="n"/>
      <c r="G31" s="7">
        <f>IF(D31="","",IF(D31&lt;300,1,IF(D31&lt;1000,2,IF(D31&lt;5000,4,IF(D31&lt;30000,5,3)))))</f>
        <v/>
      </c>
      <c r="H31" s="7">
        <f>IF(OR(G31="",E31="",E31=0),"",ROUND(G31*F31/E31,2))</f>
        <v/>
      </c>
      <c r="I31" s="9" t="n"/>
      <c r="J31" s="9" t="n"/>
    </row>
    <row r="32">
      <c r="A32" s="9" t="n"/>
      <c r="B32" s="9" t="n"/>
      <c r="C32" s="9" t="n"/>
      <c r="D32" s="15" t="n"/>
      <c r="E32" s="8" t="n"/>
      <c r="F32" s="9" t="n"/>
      <c r="G32" s="7">
        <f>IF(D32="","",IF(D32&lt;300,1,IF(D32&lt;1000,2,IF(D32&lt;5000,4,IF(D32&lt;30000,5,3)))))</f>
        <v/>
      </c>
      <c r="H32" s="7">
        <f>IF(OR(G32="",E32="",E32=0),"",ROUND(G32*F32/E32,2))</f>
        <v/>
      </c>
      <c r="I32" s="9" t="n"/>
      <c r="J32" s="9" t="n"/>
    </row>
    <row r="33">
      <c r="A33" s="9" t="n"/>
      <c r="B33" s="9" t="n"/>
      <c r="C33" s="9" t="n"/>
      <c r="D33" s="15" t="n"/>
      <c r="E33" s="8" t="n"/>
      <c r="F33" s="9" t="n"/>
      <c r="G33" s="7">
        <f>IF(D33="","",IF(D33&lt;300,1,IF(D33&lt;1000,2,IF(D33&lt;5000,4,IF(D33&lt;30000,5,3)))))</f>
        <v/>
      </c>
      <c r="H33" s="7">
        <f>IF(OR(G33="",E33="",E33=0),"",ROUND(G33*F33/E33,2))</f>
        <v/>
      </c>
      <c r="I33" s="9" t="n"/>
      <c r="J33" s="9" t="n"/>
    </row>
    <row r="34">
      <c r="A34" s="9" t="n"/>
      <c r="B34" s="9" t="n"/>
      <c r="C34" s="9" t="n"/>
      <c r="D34" s="15" t="n"/>
      <c r="E34" s="8" t="n"/>
      <c r="F34" s="9" t="n"/>
      <c r="G34" s="7">
        <f>IF(D34="","",IF(D34&lt;300,1,IF(D34&lt;1000,2,IF(D34&lt;5000,4,IF(D34&lt;30000,5,3)))))</f>
        <v/>
      </c>
      <c r="H34" s="7">
        <f>IF(OR(G34="",E34="",E34=0),"",ROUND(G34*F34/E34,2))</f>
        <v/>
      </c>
      <c r="I34" s="9" t="n"/>
      <c r="J34" s="9" t="n"/>
    </row>
    <row r="35">
      <c r="A35" s="9" t="n"/>
      <c r="B35" s="9" t="n"/>
      <c r="C35" s="9" t="n"/>
      <c r="D35" s="15" t="n"/>
      <c r="E35" s="8" t="n"/>
      <c r="F35" s="9" t="n"/>
      <c r="G35" s="7">
        <f>IF(D35="","",IF(D35&lt;300,1,IF(D35&lt;1000,2,IF(D35&lt;5000,4,IF(D35&lt;30000,5,3)))))</f>
        <v/>
      </c>
      <c r="H35" s="7">
        <f>IF(OR(G35="",E35="",E35=0),"",ROUND(G35*F35/E35,2))</f>
        <v/>
      </c>
      <c r="I35" s="9" t="n"/>
      <c r="J35" s="9" t="n"/>
    </row>
    <row r="36">
      <c r="A36" s="9" t="n"/>
      <c r="B36" s="9" t="n"/>
      <c r="C36" s="9" t="n"/>
      <c r="D36" s="15" t="n"/>
      <c r="E36" s="8" t="n"/>
      <c r="F36" s="9" t="n"/>
      <c r="G36" s="7">
        <f>IF(D36="","",IF(D36&lt;300,1,IF(D36&lt;1000,2,IF(D36&lt;5000,4,IF(D36&lt;30000,5,3)))))</f>
        <v/>
      </c>
      <c r="H36" s="7">
        <f>IF(OR(G36="",E36="",E36=0),"",ROUND(G36*F36/E36,2))</f>
        <v/>
      </c>
      <c r="I36" s="9" t="n"/>
      <c r="J36" s="9" t="n"/>
    </row>
    <row r="37">
      <c r="A37" s="9" t="n"/>
      <c r="B37" s="9" t="n"/>
      <c r="C37" s="9" t="n"/>
      <c r="D37" s="15" t="n"/>
      <c r="E37" s="8" t="n"/>
      <c r="F37" s="9" t="n"/>
      <c r="G37" s="7">
        <f>IF(D37="","",IF(D37&lt;300,1,IF(D37&lt;1000,2,IF(D37&lt;5000,4,IF(D37&lt;30000,5,3)))))</f>
        <v/>
      </c>
      <c r="H37" s="7">
        <f>IF(OR(G37="",E37="",E37=0),"",ROUND(G37*F37/E37,2))</f>
        <v/>
      </c>
      <c r="I37" s="9" t="n"/>
      <c r="J37" s="9" t="n"/>
    </row>
    <row r="38">
      <c r="A38" s="9" t="n"/>
      <c r="B38" s="9" t="n"/>
      <c r="C38" s="9" t="n"/>
      <c r="D38" s="15" t="n"/>
      <c r="E38" s="8" t="n"/>
      <c r="F38" s="9" t="n"/>
      <c r="G38" s="7">
        <f>IF(D38="","",IF(D38&lt;300,1,IF(D38&lt;1000,2,IF(D38&lt;5000,4,IF(D38&lt;30000,5,3)))))</f>
        <v/>
      </c>
      <c r="H38" s="7">
        <f>IF(OR(G38="",E38="",E38=0),"",ROUND(G38*F38/E38,2))</f>
        <v/>
      </c>
      <c r="I38" s="9" t="n"/>
      <c r="J38" s="9" t="n"/>
    </row>
    <row r="39">
      <c r="A39" s="9" t="n"/>
      <c r="B39" s="9" t="n"/>
      <c r="C39" s="9" t="n"/>
      <c r="D39" s="15" t="n"/>
      <c r="E39" s="8" t="n"/>
      <c r="F39" s="9" t="n"/>
      <c r="G39" s="7">
        <f>IF(D39="","",IF(D39&lt;300,1,IF(D39&lt;1000,2,IF(D39&lt;5000,4,IF(D39&lt;30000,5,3)))))</f>
        <v/>
      </c>
      <c r="H39" s="7">
        <f>IF(OR(G39="",E39="",E39=0),"",ROUND(G39*F39/E39,2))</f>
        <v/>
      </c>
      <c r="I39" s="9" t="n"/>
      <c r="J39" s="9" t="n"/>
    </row>
    <row r="40">
      <c r="A40" s="9" t="n"/>
      <c r="B40" s="9" t="n"/>
      <c r="C40" s="9" t="n"/>
      <c r="D40" s="15" t="n"/>
      <c r="E40" s="8" t="n"/>
      <c r="F40" s="9" t="n"/>
      <c r="G40" s="7">
        <f>IF(D40="","",IF(D40&lt;300,1,IF(D40&lt;1000,2,IF(D40&lt;5000,4,IF(D40&lt;30000,5,3)))))</f>
        <v/>
      </c>
      <c r="H40" s="7">
        <f>IF(OR(G40="",E40="",E40=0),"",ROUND(G40*F40/E40,2))</f>
        <v/>
      </c>
      <c r="I40" s="9" t="n"/>
      <c r="J40" s="9" t="n"/>
    </row>
    <row r="41">
      <c r="A41" s="28" t="n"/>
      <c r="B41" s="28" t="n"/>
      <c r="C41" s="28" t="n"/>
      <c r="D41" s="31" t="n"/>
      <c r="E41" s="4" t="n"/>
      <c r="F41" s="28" t="n"/>
      <c r="G41" s="2">
        <f>IF(D41="","",IF(D41&lt;300,1,IF(D41&lt;1000,2,IF(D41&lt;5000,4,IF(D41&lt;30000,5,3)))))</f>
        <v/>
      </c>
      <c r="H41" s="2">
        <f>IF(OR(G41="",E41="",E41=0),"",ROUND(G41*F41/E41,2))</f>
        <v/>
      </c>
      <c r="I41" s="28" t="n"/>
      <c r="J41" s="28" t="n"/>
    </row>
    <row r="42">
      <c r="A42" s="28" t="n"/>
      <c r="B42" s="28" t="n"/>
      <c r="C42" s="28" t="n"/>
      <c r="D42" s="31" t="n"/>
      <c r="E42" s="4" t="n"/>
      <c r="F42" s="28" t="n"/>
      <c r="G42" s="2">
        <f>IF(D42="","",IF(D42&lt;300,1,IF(D42&lt;1000,2,IF(D42&lt;5000,4,IF(D42&lt;30000,5,3)))))</f>
        <v/>
      </c>
      <c r="H42" s="2">
        <f>IF(OR(G42="",E42="",E42=0),"",ROUND(G42*F42/E42,2))</f>
        <v/>
      </c>
      <c r="I42" s="28" t="n"/>
      <c r="J42" s="28" t="n"/>
    </row>
    <row r="43">
      <c r="A43" s="28" t="n"/>
      <c r="B43" s="28" t="n"/>
      <c r="C43" s="28" t="n"/>
      <c r="D43" s="31" t="n"/>
      <c r="E43" s="4" t="n"/>
      <c r="F43" s="28" t="n"/>
      <c r="G43" s="2">
        <f>IF(D43="","",IF(D43&lt;300,1,IF(D43&lt;1000,2,IF(D43&lt;5000,4,IF(D43&lt;30000,5,3)))))</f>
        <v/>
      </c>
      <c r="H43" s="2">
        <f>IF(OR(G43="",E43="",E43=0),"",ROUND(G43*F43/E43,2))</f>
        <v/>
      </c>
      <c r="I43" s="28" t="n"/>
      <c r="J43" s="28" t="n"/>
    </row>
    <row r="44">
      <c r="A44" s="28" t="n"/>
      <c r="B44" s="28" t="n"/>
      <c r="C44" s="28" t="n"/>
      <c r="D44" s="31" t="n"/>
      <c r="E44" s="4" t="n"/>
      <c r="F44" s="28" t="n"/>
      <c r="G44" s="2">
        <f>IF(D44="","",IF(D44&lt;300,1,IF(D44&lt;1000,2,IF(D44&lt;5000,4,IF(D44&lt;30000,5,3)))))</f>
        <v/>
      </c>
      <c r="H44" s="2">
        <f>IF(OR(G44="",E44="",E44=0),"",ROUND(G44*F44/E44,2))</f>
        <v/>
      </c>
      <c r="I44" s="28" t="n"/>
      <c r="J44" s="28" t="n"/>
    </row>
    <row r="45">
      <c r="A45" s="28" t="n"/>
      <c r="B45" s="28" t="n"/>
      <c r="C45" s="28" t="n"/>
      <c r="D45" s="31" t="n"/>
      <c r="E45" s="4" t="n"/>
      <c r="F45" s="28" t="n"/>
      <c r="G45" s="2">
        <f>IF(D45="","",IF(D45&lt;300,1,IF(D45&lt;1000,2,IF(D45&lt;5000,4,IF(D45&lt;30000,5,3)))))</f>
        <v/>
      </c>
      <c r="H45" s="2">
        <f>IF(OR(G45="",E45="",E45=0),"",ROUND(G45*F45/E45,2))</f>
        <v/>
      </c>
      <c r="I45" s="28" t="n"/>
      <c r="J45" s="28" t="n"/>
    </row>
    <row r="46">
      <c r="A46" s="28" t="n"/>
      <c r="B46" s="28" t="n"/>
      <c r="C46" s="28" t="n"/>
      <c r="D46" s="31" t="n"/>
      <c r="E46" s="4" t="n"/>
      <c r="F46" s="28" t="n"/>
      <c r="G46" s="2">
        <f>IF(D46="","",IF(D46&lt;300,1,IF(D46&lt;1000,2,IF(D46&lt;5000,4,IF(D46&lt;30000,5,3)))))</f>
        <v/>
      </c>
      <c r="H46" s="2">
        <f>IF(OR(G46="",E46="",E46=0),"",ROUND(G46*F46/E46,2))</f>
        <v/>
      </c>
      <c r="I46" s="28" t="n"/>
      <c r="J46" s="28" t="n"/>
    </row>
    <row r="47">
      <c r="A47" s="28" t="n"/>
      <c r="B47" s="28" t="n"/>
      <c r="C47" s="28" t="n"/>
      <c r="D47" s="31" t="n"/>
      <c r="E47" s="4" t="n"/>
      <c r="F47" s="28" t="n"/>
      <c r="G47" s="2">
        <f>IF(D47="","",IF(D47&lt;300,1,IF(D47&lt;1000,2,IF(D47&lt;5000,4,IF(D47&lt;30000,5,3)))))</f>
        <v/>
      </c>
      <c r="H47" s="2">
        <f>IF(OR(G47="",E47="",E47=0),"",ROUND(G47*F47/E47,2))</f>
        <v/>
      </c>
      <c r="I47" s="28" t="n"/>
      <c r="J47" s="28" t="n"/>
    </row>
    <row r="48">
      <c r="A48" s="28" t="n"/>
      <c r="B48" s="28" t="n"/>
      <c r="C48" s="28" t="n"/>
      <c r="D48" s="31" t="n"/>
      <c r="E48" s="4" t="n"/>
      <c r="F48" s="28" t="n"/>
      <c r="G48" s="2">
        <f>IF(D48="","",IF(D48&lt;300,1,IF(D48&lt;1000,2,IF(D48&lt;5000,4,IF(D48&lt;30000,5,3)))))</f>
        <v/>
      </c>
      <c r="H48" s="2">
        <f>IF(OR(G48="",E48="",E48=0),"",ROUND(G48*F48/E48,2))</f>
        <v/>
      </c>
      <c r="I48" s="28" t="n"/>
      <c r="J48" s="28" t="n"/>
    </row>
    <row r="49">
      <c r="A49" s="28" t="n"/>
      <c r="B49" s="28" t="n"/>
      <c r="C49" s="28" t="n"/>
      <c r="D49" s="31" t="n"/>
      <c r="E49" s="4" t="n"/>
      <c r="F49" s="28" t="n"/>
      <c r="G49" s="2">
        <f>IF(D49="","",IF(D49&lt;300,1,IF(D49&lt;1000,2,IF(D49&lt;5000,4,IF(D49&lt;30000,5,3)))))</f>
        <v/>
      </c>
      <c r="H49" s="2">
        <f>IF(OR(G49="",E49="",E49=0),"",ROUND(G49*F49/E49,2))</f>
        <v/>
      </c>
      <c r="I49" s="28" t="n"/>
      <c r="J49" s="28" t="n"/>
    </row>
    <row r="50">
      <c r="A50" s="28" t="n"/>
      <c r="B50" s="28" t="n"/>
      <c r="C50" s="28" t="n"/>
      <c r="D50" s="31" t="n"/>
      <c r="E50" s="4" t="n"/>
      <c r="F50" s="28" t="n"/>
      <c r="G50" s="2">
        <f>IF(D50="","",IF(D50&lt;300,1,IF(D50&lt;1000,2,IF(D50&lt;5000,4,IF(D50&lt;30000,5,3)))))</f>
        <v/>
      </c>
      <c r="H50" s="2">
        <f>IF(OR(G50="",E50="",E50=0),"",ROUND(G50*F50/E50,2))</f>
        <v/>
      </c>
      <c r="I50" s="28" t="n"/>
      <c r="J50" s="28" t="n"/>
    </row>
    <row r="51">
      <c r="A51" s="28" t="n"/>
      <c r="B51" s="28" t="n"/>
      <c r="C51" s="28" t="n"/>
      <c r="D51" s="31" t="n"/>
      <c r="E51" s="4" t="n"/>
      <c r="F51" s="28" t="n"/>
      <c r="G51" s="2">
        <f>IF(D51="","",IF(D51&lt;300,1,IF(D51&lt;1000,2,IF(D51&lt;5000,4,IF(D51&lt;30000,5,3)))))</f>
        <v/>
      </c>
      <c r="H51" s="2">
        <f>IF(OR(G51="",E51="",E51=0),"",ROUND(G51*F51/E51,2))</f>
        <v/>
      </c>
      <c r="I51" s="28" t="n"/>
      <c r="J51" s="28" t="n"/>
    </row>
    <row r="52">
      <c r="A52" s="28" t="n"/>
      <c r="B52" s="28" t="n"/>
      <c r="C52" s="28" t="n"/>
      <c r="D52" s="31" t="n"/>
      <c r="E52" s="4" t="n"/>
      <c r="F52" s="28" t="n"/>
      <c r="G52" s="2">
        <f>IF(D52="","",IF(D52&lt;300,1,IF(D52&lt;1000,2,IF(D52&lt;5000,4,IF(D52&lt;30000,5,3)))))</f>
        <v/>
      </c>
      <c r="H52" s="2">
        <f>IF(OR(G52="",E52="",E52=0),"",ROUND(G52*F52/E52,2))</f>
        <v/>
      </c>
      <c r="I52" s="28" t="n"/>
      <c r="J52" s="28" t="n"/>
    </row>
    <row r="53">
      <c r="A53" s="28" t="n"/>
      <c r="B53" s="28" t="n"/>
      <c r="C53" s="28" t="n"/>
      <c r="D53" s="31" t="n"/>
      <c r="E53" s="4" t="n"/>
      <c r="F53" s="28" t="n"/>
      <c r="G53" s="2">
        <f>IF(D53="","",IF(D53&lt;300,1,IF(D53&lt;1000,2,IF(D53&lt;5000,4,IF(D53&lt;30000,5,3)))))</f>
        <v/>
      </c>
      <c r="H53" s="2">
        <f>IF(OR(G53="",E53="",E53=0),"",ROUND(G53*F53/E53,2))</f>
        <v/>
      </c>
      <c r="I53" s="28" t="n"/>
      <c r="J53" s="28" t="n"/>
    </row>
    <row r="54">
      <c r="A54" s="28" t="n"/>
      <c r="B54" s="28" t="n"/>
      <c r="C54" s="28" t="n"/>
      <c r="D54" s="31" t="n"/>
      <c r="E54" s="4" t="n"/>
      <c r="F54" s="28" t="n"/>
      <c r="G54" s="2">
        <f>IF(D54="","",IF(D54&lt;300,1,IF(D54&lt;1000,2,IF(D54&lt;5000,4,IF(D54&lt;30000,5,3)))))</f>
        <v/>
      </c>
      <c r="H54" s="2">
        <f>IF(OR(G54="",E54="",E54=0),"",ROUND(G54*F54/E54,2))</f>
        <v/>
      </c>
      <c r="I54" s="28" t="n"/>
      <c r="J54" s="28" t="n"/>
    </row>
    <row r="55">
      <c r="A55" s="28" t="n"/>
      <c r="B55" s="28" t="n"/>
      <c r="C55" s="28" t="n"/>
      <c r="D55" s="31" t="n"/>
      <c r="E55" s="4" t="n"/>
      <c r="F55" s="28" t="n"/>
      <c r="G55" s="2">
        <f>IF(D55="","",IF(D55&lt;300,1,IF(D55&lt;1000,2,IF(D55&lt;5000,4,IF(D55&lt;30000,5,3)))))</f>
        <v/>
      </c>
      <c r="H55" s="2">
        <f>IF(OR(G55="",E55="",E55=0),"",ROUND(G55*F55/E55,2))</f>
        <v/>
      </c>
      <c r="I55" s="28" t="n"/>
      <c r="J55" s="28" t="n"/>
    </row>
    <row r="56">
      <c r="A56" s="28" t="n"/>
      <c r="B56" s="28" t="n"/>
      <c r="C56" s="28" t="n"/>
      <c r="D56" s="31" t="n"/>
      <c r="E56" s="4" t="n"/>
      <c r="F56" s="28" t="n"/>
      <c r="G56" s="2">
        <f>IF(D56="","",IF(D56&lt;300,1,IF(D56&lt;1000,2,IF(D56&lt;5000,4,IF(D56&lt;30000,5,3)))))</f>
        <v/>
      </c>
      <c r="H56" s="2">
        <f>IF(OR(G56="",E56="",E56=0),"",ROUND(G56*F56/E56,2))</f>
        <v/>
      </c>
      <c r="I56" s="28" t="n"/>
      <c r="J56" s="28" t="n"/>
    </row>
    <row r="57">
      <c r="A57" s="28" t="n"/>
      <c r="B57" s="28" t="n"/>
      <c r="C57" s="28" t="n"/>
      <c r="D57" s="31" t="n"/>
      <c r="E57" s="4" t="n"/>
      <c r="F57" s="28" t="n"/>
      <c r="G57" s="2">
        <f>IF(D57="","",IF(D57&lt;300,1,IF(D57&lt;1000,2,IF(D57&lt;5000,4,IF(D57&lt;30000,5,3)))))</f>
        <v/>
      </c>
      <c r="H57" s="2">
        <f>IF(OR(G57="",E57="",E57=0),"",ROUND(G57*F57/E57,2))</f>
        <v/>
      </c>
      <c r="I57" s="28" t="n"/>
      <c r="J57" s="28" t="n"/>
    </row>
    <row r="58">
      <c r="A58" s="28" t="n"/>
      <c r="B58" s="28" t="n"/>
      <c r="C58" s="28" t="n"/>
      <c r="D58" s="31" t="n"/>
      <c r="E58" s="4" t="n"/>
      <c r="F58" s="28" t="n"/>
      <c r="G58" s="2">
        <f>IF(D58="","",IF(D58&lt;300,1,IF(D58&lt;1000,2,IF(D58&lt;5000,4,IF(D58&lt;30000,5,3)))))</f>
        <v/>
      </c>
      <c r="H58" s="2">
        <f>IF(OR(G58="",E58="",E58=0),"",ROUND(G58*F58/E58,2))</f>
        <v/>
      </c>
      <c r="I58" s="28" t="n"/>
      <c r="J58" s="28" t="n"/>
    </row>
    <row r="59">
      <c r="A59" s="28" t="n"/>
      <c r="B59" s="28" t="n"/>
      <c r="C59" s="28" t="n"/>
      <c r="D59" s="31" t="n"/>
      <c r="E59" s="4" t="n"/>
      <c r="F59" s="28" t="n"/>
      <c r="G59" s="2">
        <f>IF(D59="","",IF(D59&lt;300,1,IF(D59&lt;1000,2,IF(D59&lt;5000,4,IF(D59&lt;30000,5,3)))))</f>
        <v/>
      </c>
      <c r="H59" s="2">
        <f>IF(OR(G59="",E59="",E59=0),"",ROUND(G59*F59/E59,2))</f>
        <v/>
      </c>
      <c r="I59" s="28" t="n"/>
      <c r="J59" s="28" t="n"/>
    </row>
    <row r="60">
      <c r="A60" s="28" t="n"/>
      <c r="B60" s="28" t="n"/>
      <c r="C60" s="28" t="n"/>
      <c r="D60" s="31" t="n"/>
      <c r="E60" s="4" t="n"/>
      <c r="F60" s="28" t="n"/>
      <c r="G60" s="2">
        <f>IF(D60="","",IF(D60&lt;300,1,IF(D60&lt;1000,2,IF(D60&lt;5000,4,IF(D60&lt;30000,5,3)))))</f>
        <v/>
      </c>
      <c r="H60" s="2">
        <f>IF(OR(G60="",E60="",E60=0),"",ROUND(G60*F60/E60,2))</f>
        <v/>
      </c>
      <c r="I60" s="28" t="n"/>
      <c r="J60" s="28" t="n"/>
    </row>
    <row r="61">
      <c r="A61" s="28" t="n"/>
      <c r="B61" s="28" t="n"/>
      <c r="C61" s="28" t="n"/>
      <c r="D61" s="31" t="n"/>
      <c r="E61" s="4" t="n"/>
      <c r="F61" s="28" t="n"/>
      <c r="G61" s="2">
        <f>IF(D61="","",IF(D61&lt;300,1,IF(D61&lt;1000,2,IF(D61&lt;5000,4,IF(D61&lt;30000,5,3)))))</f>
        <v/>
      </c>
      <c r="H61" s="2">
        <f>IF(OR(G61="",E61="",E61=0),"",ROUND(G61*F61/E61,2))</f>
        <v/>
      </c>
      <c r="I61" s="28" t="n"/>
      <c r="J61" s="28" t="n"/>
    </row>
    <row r="62">
      <c r="A62" s="28" t="n"/>
      <c r="B62" s="28" t="n"/>
      <c r="C62" s="28" t="n"/>
      <c r="D62" s="31" t="n"/>
      <c r="E62" s="4" t="n"/>
      <c r="F62" s="28" t="n"/>
      <c r="G62" s="2">
        <f>IF(D62="","",IF(D62&lt;300,1,IF(D62&lt;1000,2,IF(D62&lt;5000,4,IF(D62&lt;30000,5,3)))))</f>
        <v/>
      </c>
      <c r="H62" s="2">
        <f>IF(OR(G62="",E62="",E62=0),"",ROUND(G62*F62/E62,2))</f>
        <v/>
      </c>
      <c r="I62" s="28" t="n"/>
      <c r="J62" s="28" t="n"/>
    </row>
    <row r="63">
      <c r="A63" s="28" t="n"/>
      <c r="B63" s="28" t="n"/>
      <c r="C63" s="28" t="n"/>
      <c r="D63" s="31" t="n"/>
      <c r="E63" s="4" t="n"/>
      <c r="F63" s="28" t="n"/>
      <c r="G63" s="2">
        <f>IF(D63="","",IF(D63&lt;300,1,IF(D63&lt;1000,2,IF(D63&lt;5000,4,IF(D63&lt;30000,5,3)))))</f>
        <v/>
      </c>
      <c r="H63" s="2">
        <f>IF(OR(G63="",E63="",E63=0),"",ROUND(G63*F63/E63,2))</f>
        <v/>
      </c>
      <c r="I63" s="28" t="n"/>
      <c r="J63" s="28" t="n"/>
    </row>
    <row r="64">
      <c r="A64" s="28" t="n"/>
      <c r="B64" s="28" t="n"/>
      <c r="C64" s="28" t="n"/>
      <c r="D64" s="31" t="n"/>
      <c r="E64" s="4" t="n"/>
      <c r="F64" s="28" t="n"/>
      <c r="G64" s="2">
        <f>IF(D64="","",IF(D64&lt;300,1,IF(D64&lt;1000,2,IF(D64&lt;5000,4,IF(D64&lt;30000,5,3)))))</f>
        <v/>
      </c>
      <c r="H64" s="2">
        <f>IF(OR(G64="",E64="",E64=0),"",ROUND(G64*F64/E64,2))</f>
        <v/>
      </c>
      <c r="I64" s="28" t="n"/>
      <c r="J64" s="28" t="n"/>
    </row>
    <row r="65">
      <c r="A65" s="28" t="n"/>
      <c r="B65" s="28" t="n"/>
      <c r="C65" s="28" t="n"/>
      <c r="D65" s="31" t="n"/>
      <c r="E65" s="4" t="n"/>
      <c r="F65" s="28" t="n"/>
      <c r="G65" s="2">
        <f>IF(D65="","",IF(D65&lt;300,1,IF(D65&lt;1000,2,IF(D65&lt;5000,4,IF(D65&lt;30000,5,3)))))</f>
        <v/>
      </c>
      <c r="H65" s="2">
        <f>IF(OR(G65="",E65="",E65=0),"",ROUND(G65*F65/E65,2))</f>
        <v/>
      </c>
      <c r="I65" s="28" t="n"/>
      <c r="J65" s="28" t="n"/>
    </row>
    <row r="66">
      <c r="A66" s="28" t="n"/>
      <c r="B66" s="28" t="n"/>
      <c r="C66" s="28" t="n"/>
      <c r="D66" s="31" t="n"/>
      <c r="E66" s="4" t="n"/>
      <c r="F66" s="28" t="n"/>
      <c r="G66" s="2">
        <f>IF(D66="","",IF(D66&lt;300,1,IF(D66&lt;1000,2,IF(D66&lt;5000,4,IF(D66&lt;30000,5,3)))))</f>
        <v/>
      </c>
      <c r="H66" s="2">
        <f>IF(OR(G66="",E66="",E66=0),"",ROUND(G66*F66/E66,2))</f>
        <v/>
      </c>
      <c r="I66" s="28" t="n"/>
      <c r="J66" s="28" t="n"/>
    </row>
    <row r="67">
      <c r="A67" s="28" t="n"/>
      <c r="B67" s="28" t="n"/>
      <c r="C67" s="28" t="n"/>
      <c r="D67" s="31" t="n"/>
      <c r="E67" s="4" t="n"/>
      <c r="F67" s="28" t="n"/>
      <c r="G67" s="2">
        <f>IF(D67="","",IF(D67&lt;300,1,IF(D67&lt;1000,2,IF(D67&lt;5000,4,IF(D67&lt;30000,5,3)))))</f>
        <v/>
      </c>
      <c r="H67" s="2">
        <f>IF(OR(G67="",E67="",E67=0),"",ROUND(G67*F67/E67,2))</f>
        <v/>
      </c>
      <c r="I67" s="28" t="n"/>
      <c r="J67" s="28" t="n"/>
    </row>
    <row r="68">
      <c r="A68" s="28" t="n"/>
      <c r="B68" s="28" t="n"/>
      <c r="C68" s="28" t="n"/>
      <c r="D68" s="31" t="n"/>
      <c r="E68" s="4" t="n"/>
      <c r="F68" s="28" t="n"/>
      <c r="G68" s="2">
        <f>IF(D68="","",IF(D68&lt;300,1,IF(D68&lt;1000,2,IF(D68&lt;5000,4,IF(D68&lt;30000,5,3)))))</f>
        <v/>
      </c>
      <c r="H68" s="2">
        <f>IF(OR(G68="",E68="",E68=0),"",ROUND(G68*F68/E68,2))</f>
        <v/>
      </c>
      <c r="I68" s="28" t="n"/>
      <c r="J68" s="28" t="n"/>
    </row>
    <row r="69">
      <c r="A69" s="28" t="n"/>
      <c r="B69" s="28" t="n"/>
      <c r="C69" s="28" t="n"/>
      <c r="D69" s="31" t="n"/>
      <c r="E69" s="4" t="n"/>
      <c r="F69" s="28" t="n"/>
      <c r="G69" s="2">
        <f>IF(D69="","",IF(D69&lt;300,1,IF(D69&lt;1000,2,IF(D69&lt;5000,4,IF(D69&lt;30000,5,3)))))</f>
        <v/>
      </c>
      <c r="H69" s="2">
        <f>IF(OR(G69="",E69="",E69=0),"",ROUND(G69*F69/E69,2))</f>
        <v/>
      </c>
      <c r="I69" s="28" t="n"/>
      <c r="J69" s="28" t="n"/>
    </row>
    <row r="70">
      <c r="A70" s="28" t="n"/>
      <c r="B70" s="28" t="n"/>
      <c r="C70" s="28" t="n"/>
      <c r="D70" s="31" t="n"/>
      <c r="E70" s="4" t="n"/>
      <c r="F70" s="28" t="n"/>
      <c r="G70" s="2">
        <f>IF(D70="","",IF(D70&lt;300,1,IF(D70&lt;1000,2,IF(D70&lt;5000,4,IF(D70&lt;30000,5,3)))))</f>
        <v/>
      </c>
      <c r="H70" s="2">
        <f>IF(OR(G70="",E70="",E70=0),"",ROUND(G70*F70/E70,2))</f>
        <v/>
      </c>
      <c r="I70" s="28" t="n"/>
      <c r="J70" s="28" t="n"/>
    </row>
    <row r="71">
      <c r="A71" s="28" t="n"/>
      <c r="B71" s="28" t="n"/>
      <c r="C71" s="28" t="n"/>
      <c r="D71" s="31" t="n"/>
      <c r="E71" s="4" t="n"/>
      <c r="F71" s="28" t="n"/>
      <c r="G71" s="2">
        <f>IF(D71="","",IF(D71&lt;300,1,IF(D71&lt;1000,2,IF(D71&lt;5000,4,IF(D71&lt;30000,5,3)))))</f>
        <v/>
      </c>
      <c r="H71" s="2">
        <f>IF(OR(G71="",E71="",E71=0),"",ROUND(G71*F71/E71,2))</f>
        <v/>
      </c>
      <c r="I71" s="28" t="n"/>
      <c r="J71" s="28" t="n"/>
    </row>
    <row r="72">
      <c r="A72" s="28" t="n"/>
      <c r="B72" s="28" t="n"/>
      <c r="C72" s="28" t="n"/>
      <c r="D72" s="31" t="n"/>
      <c r="E72" s="4" t="n"/>
      <c r="F72" s="28" t="n"/>
      <c r="G72" s="2">
        <f>IF(D72="","",IF(D72&lt;300,1,IF(D72&lt;1000,2,IF(D72&lt;5000,4,IF(D72&lt;30000,5,3)))))</f>
        <v/>
      </c>
      <c r="H72" s="2">
        <f>IF(OR(G72="",E72="",E72=0),"",ROUND(G72*F72/E72,2))</f>
        <v/>
      </c>
      <c r="I72" s="28" t="n"/>
      <c r="J72" s="28" t="n"/>
    </row>
    <row r="73">
      <c r="A73" s="28" t="n"/>
      <c r="B73" s="28" t="n"/>
      <c r="C73" s="28" t="n"/>
      <c r="D73" s="31" t="n"/>
      <c r="E73" s="4" t="n"/>
      <c r="F73" s="28" t="n"/>
      <c r="G73" s="2">
        <f>IF(D73="","",IF(D73&lt;300,1,IF(D73&lt;1000,2,IF(D73&lt;5000,4,IF(D73&lt;30000,5,3)))))</f>
        <v/>
      </c>
      <c r="H73" s="2">
        <f>IF(OR(G73="",E73="",E73=0),"",ROUND(G73*F73/E73,2))</f>
        <v/>
      </c>
      <c r="I73" s="28" t="n"/>
      <c r="J73" s="28" t="n"/>
    </row>
    <row r="74">
      <c r="A74" s="28" t="n"/>
      <c r="B74" s="28" t="n"/>
      <c r="C74" s="28" t="n"/>
      <c r="D74" s="31" t="n"/>
      <c r="E74" s="4" t="n"/>
      <c r="F74" s="28" t="n"/>
      <c r="G74" s="2">
        <f>IF(D74="","",IF(D74&lt;300,1,IF(D74&lt;1000,2,IF(D74&lt;5000,4,IF(D74&lt;30000,5,3)))))</f>
        <v/>
      </c>
      <c r="H74" s="2">
        <f>IF(OR(G74="",E74="",E74=0),"",ROUND(G74*F74/E74,2))</f>
        <v/>
      </c>
      <c r="I74" s="28" t="n"/>
      <c r="J74" s="28" t="n"/>
    </row>
    <row r="75">
      <c r="A75" s="28" t="n"/>
      <c r="B75" s="28" t="n"/>
      <c r="C75" s="28" t="n"/>
      <c r="D75" s="31" t="n"/>
      <c r="E75" s="4" t="n"/>
      <c r="F75" s="28" t="n"/>
      <c r="G75" s="2">
        <f>IF(D75="","",IF(D75&lt;300,1,IF(D75&lt;1000,2,IF(D75&lt;5000,4,IF(D75&lt;30000,5,3)))))</f>
        <v/>
      </c>
      <c r="H75" s="2">
        <f>IF(OR(G75="",E75="",E75=0),"",ROUND(G75*F75/E75,2))</f>
        <v/>
      </c>
      <c r="I75" s="28" t="n"/>
      <c r="J75" s="28" t="n"/>
    </row>
    <row r="76">
      <c r="A76" s="28" t="n"/>
      <c r="B76" s="28" t="n"/>
      <c r="C76" s="28" t="n"/>
      <c r="D76" s="31" t="n"/>
      <c r="E76" s="4" t="n"/>
      <c r="F76" s="28" t="n"/>
      <c r="G76" s="2">
        <f>IF(D76="","",IF(D76&lt;300,1,IF(D76&lt;1000,2,IF(D76&lt;5000,4,IF(D76&lt;30000,5,3)))))</f>
        <v/>
      </c>
      <c r="H76" s="2">
        <f>IF(OR(G76="",E76="",E76=0),"",ROUND(G76*F76/E76,2))</f>
        <v/>
      </c>
      <c r="I76" s="28" t="n"/>
      <c r="J76" s="28" t="n"/>
    </row>
    <row r="77">
      <c r="A77" s="28" t="n"/>
      <c r="B77" s="28" t="n"/>
      <c r="C77" s="28" t="n"/>
      <c r="D77" s="31" t="n"/>
      <c r="E77" s="4" t="n"/>
      <c r="F77" s="28" t="n"/>
      <c r="G77" s="2">
        <f>IF(D77="","",IF(D77&lt;300,1,IF(D77&lt;1000,2,IF(D77&lt;5000,4,IF(D77&lt;30000,5,3)))))</f>
        <v/>
      </c>
      <c r="H77" s="2">
        <f>IF(OR(G77="",E77="",E77=0),"",ROUND(G77*F77/E77,2))</f>
        <v/>
      </c>
      <c r="I77" s="28" t="n"/>
      <c r="J77" s="28" t="n"/>
    </row>
    <row r="78">
      <c r="A78" s="28" t="n"/>
      <c r="B78" s="28" t="n"/>
      <c r="C78" s="28" t="n"/>
      <c r="D78" s="31" t="n"/>
      <c r="E78" s="4" t="n"/>
      <c r="F78" s="28" t="n"/>
      <c r="G78" s="2">
        <f>IF(D78="","",IF(D78&lt;300,1,IF(D78&lt;1000,2,IF(D78&lt;5000,4,IF(D78&lt;30000,5,3)))))</f>
        <v/>
      </c>
      <c r="H78" s="2">
        <f>IF(OR(G78="",E78="",E78=0),"",ROUND(G78*F78/E78,2))</f>
        <v/>
      </c>
      <c r="I78" s="28" t="n"/>
      <c r="J78" s="28" t="n"/>
    </row>
    <row r="79">
      <c r="A79" s="28" t="n"/>
      <c r="B79" s="28" t="n"/>
      <c r="C79" s="28" t="n"/>
      <c r="D79" s="31" t="n"/>
      <c r="E79" s="4" t="n"/>
      <c r="F79" s="28" t="n"/>
      <c r="G79" s="2">
        <f>IF(D79="","",IF(D79&lt;300,1,IF(D79&lt;1000,2,IF(D79&lt;5000,4,IF(D79&lt;30000,5,3)))))</f>
        <v/>
      </c>
      <c r="H79" s="2">
        <f>IF(OR(G79="",E79="",E79=0),"",ROUND(G79*F79/E79,2))</f>
        <v/>
      </c>
      <c r="I79" s="28" t="n"/>
      <c r="J79" s="28" t="n"/>
    </row>
    <row r="80">
      <c r="A80" s="28" t="n"/>
      <c r="B80" s="28" t="n"/>
      <c r="C80" s="28" t="n"/>
      <c r="D80" s="31" t="n"/>
      <c r="E80" s="4" t="n"/>
      <c r="F80" s="28" t="n"/>
      <c r="G80" s="2">
        <f>IF(D80="","",IF(D80&lt;300,1,IF(D80&lt;1000,2,IF(D80&lt;5000,4,IF(D80&lt;30000,5,3)))))</f>
        <v/>
      </c>
      <c r="H80" s="2">
        <f>IF(OR(G80="",E80="",E80=0),"",ROUND(G80*F80/E80,2))</f>
        <v/>
      </c>
      <c r="I80" s="28" t="n"/>
      <c r="J80" s="28" t="n"/>
    </row>
    <row r="81">
      <c r="A81" s="28" t="n"/>
      <c r="B81" s="28" t="n"/>
      <c r="C81" s="28" t="n"/>
      <c r="D81" s="31" t="n"/>
      <c r="E81" s="4" t="n"/>
      <c r="F81" s="28" t="n"/>
      <c r="G81" s="2">
        <f>IF(D81="","",IF(D81&lt;300,1,IF(D81&lt;1000,2,IF(D81&lt;5000,4,IF(D81&lt;30000,5,3)))))</f>
        <v/>
      </c>
      <c r="H81" s="2">
        <f>IF(OR(G81="",E81="",E81=0),"",ROUND(G81*F81/E81,2))</f>
        <v/>
      </c>
      <c r="I81" s="28" t="n"/>
      <c r="J81" s="28" t="n"/>
    </row>
    <row r="82">
      <c r="A82" s="28" t="n"/>
      <c r="B82" s="28" t="n"/>
      <c r="C82" s="28" t="n"/>
      <c r="D82" s="31" t="n"/>
      <c r="E82" s="4" t="n"/>
      <c r="F82" s="28" t="n"/>
      <c r="G82" s="2">
        <f>IF(D82="","",IF(D82&lt;300,1,IF(D82&lt;1000,2,IF(D82&lt;5000,4,IF(D82&lt;30000,5,3)))))</f>
        <v/>
      </c>
      <c r="H82" s="2">
        <f>IF(OR(G82="",E82="",E82=0),"",ROUND(G82*F82/E82,2))</f>
        <v/>
      </c>
      <c r="I82" s="28" t="n"/>
      <c r="J82" s="28" t="n"/>
    </row>
    <row r="83">
      <c r="A83" s="28" t="n"/>
      <c r="B83" s="28" t="n"/>
      <c r="C83" s="28" t="n"/>
      <c r="D83" s="31" t="n"/>
      <c r="E83" s="4" t="n"/>
      <c r="F83" s="28" t="n"/>
      <c r="G83" s="2">
        <f>IF(D83="","",IF(D83&lt;300,1,IF(D83&lt;1000,2,IF(D83&lt;5000,4,IF(D83&lt;30000,5,3)))))</f>
        <v/>
      </c>
      <c r="H83" s="2">
        <f>IF(OR(G83="",E83="",E83=0),"",ROUND(G83*F83/E83,2))</f>
        <v/>
      </c>
      <c r="I83" s="28" t="n"/>
      <c r="J83" s="28" t="n"/>
    </row>
    <row r="84">
      <c r="A84" s="28" t="n"/>
      <c r="B84" s="28" t="n"/>
      <c r="C84" s="28" t="n"/>
      <c r="D84" s="31" t="n"/>
      <c r="E84" s="4" t="n"/>
      <c r="F84" s="28" t="n"/>
      <c r="G84" s="2">
        <f>IF(D84="","",IF(D84&lt;300,1,IF(D84&lt;1000,2,IF(D84&lt;5000,4,IF(D84&lt;30000,5,3)))))</f>
        <v/>
      </c>
      <c r="H84" s="2">
        <f>IF(OR(G84="",E84="",E84=0),"",ROUND(G84*F84/E84,2))</f>
        <v/>
      </c>
      <c r="I84" s="28" t="n"/>
      <c r="J84" s="28" t="n"/>
    </row>
    <row r="85">
      <c r="A85" s="28" t="n"/>
      <c r="B85" s="28" t="n"/>
      <c r="C85" s="28" t="n"/>
      <c r="D85" s="31" t="n"/>
      <c r="E85" s="4" t="n"/>
      <c r="F85" s="28" t="n"/>
      <c r="G85" s="2">
        <f>IF(D85="","",IF(D85&lt;300,1,IF(D85&lt;1000,2,IF(D85&lt;5000,4,IF(D85&lt;30000,5,3)))))</f>
        <v/>
      </c>
      <c r="H85" s="2">
        <f>IF(OR(G85="",E85="",E85=0),"",ROUND(G85*F85/E85,2))</f>
        <v/>
      </c>
      <c r="I85" s="28" t="n"/>
      <c r="J85" s="28" t="n"/>
    </row>
    <row r="86">
      <c r="A86" s="28" t="n"/>
      <c r="B86" s="28" t="n"/>
      <c r="C86" s="28" t="n"/>
      <c r="D86" s="31" t="n"/>
      <c r="E86" s="4" t="n"/>
      <c r="F86" s="28" t="n"/>
      <c r="G86" s="2">
        <f>IF(D86="","",IF(D86&lt;300,1,IF(D86&lt;1000,2,IF(D86&lt;5000,4,IF(D86&lt;30000,5,3)))))</f>
        <v/>
      </c>
      <c r="H86" s="2">
        <f>IF(OR(G86="",E86="",E86=0),"",ROUND(G86*F86/E86,2))</f>
        <v/>
      </c>
      <c r="I86" s="28" t="n"/>
      <c r="J86" s="28" t="n"/>
    </row>
    <row r="87">
      <c r="A87" s="28" t="n"/>
      <c r="B87" s="28" t="n"/>
      <c r="C87" s="28" t="n"/>
      <c r="D87" s="31" t="n"/>
      <c r="E87" s="4" t="n"/>
      <c r="F87" s="28" t="n"/>
      <c r="G87" s="2">
        <f>IF(D87="","",IF(D87&lt;300,1,IF(D87&lt;1000,2,IF(D87&lt;5000,4,IF(D87&lt;30000,5,3)))))</f>
        <v/>
      </c>
      <c r="H87" s="2">
        <f>IF(OR(G87="",E87="",E87=0),"",ROUND(G87*F87/E87,2))</f>
        <v/>
      </c>
      <c r="I87" s="28" t="n"/>
      <c r="J87" s="28" t="n"/>
    </row>
    <row r="88">
      <c r="A88" s="28" t="n"/>
      <c r="B88" s="28" t="n"/>
      <c r="C88" s="28" t="n"/>
      <c r="D88" s="31" t="n"/>
      <c r="E88" s="4" t="n"/>
      <c r="F88" s="28" t="n"/>
      <c r="G88" s="2">
        <f>IF(D88="","",IF(D88&lt;300,1,IF(D88&lt;1000,2,IF(D88&lt;5000,4,IF(D88&lt;30000,5,3)))))</f>
        <v/>
      </c>
      <c r="H88" s="2">
        <f>IF(OR(G88="",E88="",E88=0),"",ROUND(G88*F88/E88,2))</f>
        <v/>
      </c>
      <c r="I88" s="28" t="n"/>
      <c r="J88" s="28" t="n"/>
    </row>
    <row r="89">
      <c r="A89" s="28" t="n"/>
      <c r="B89" s="28" t="n"/>
      <c r="C89" s="28" t="n"/>
      <c r="D89" s="31" t="n"/>
      <c r="E89" s="4" t="n"/>
      <c r="F89" s="28" t="n"/>
      <c r="G89" s="2">
        <f>IF(D89="","",IF(D89&lt;300,1,IF(D89&lt;1000,2,IF(D89&lt;5000,4,IF(D89&lt;30000,5,3)))))</f>
        <v/>
      </c>
      <c r="H89" s="2">
        <f>IF(OR(G89="",E89="",E89=0),"",ROUND(G89*F89/E89,2))</f>
        <v/>
      </c>
      <c r="I89" s="28" t="n"/>
      <c r="J89" s="28" t="n"/>
    </row>
    <row r="90">
      <c r="A90" s="28" t="n"/>
      <c r="B90" s="28" t="n"/>
      <c r="C90" s="28" t="n"/>
      <c r="D90" s="31" t="n"/>
      <c r="E90" s="4" t="n"/>
      <c r="F90" s="28" t="n"/>
      <c r="G90" s="2">
        <f>IF(D90="","",IF(D90&lt;300,1,IF(D90&lt;1000,2,IF(D90&lt;5000,4,IF(D90&lt;30000,5,3)))))</f>
        <v/>
      </c>
      <c r="H90" s="2">
        <f>IF(OR(G90="",E90="",E90=0),"",ROUND(G90*F90/E90,2))</f>
        <v/>
      </c>
      <c r="I90" s="28" t="n"/>
      <c r="J90" s="28" t="n"/>
    </row>
    <row r="91">
      <c r="A91" s="28" t="n"/>
      <c r="B91" s="28" t="n"/>
      <c r="C91" s="28" t="n"/>
      <c r="D91" s="31" t="n"/>
      <c r="E91" s="4" t="n"/>
      <c r="F91" s="28" t="n"/>
      <c r="G91" s="2">
        <f>IF(D91="","",IF(D91&lt;300,1,IF(D91&lt;1000,2,IF(D91&lt;5000,4,IF(D91&lt;30000,5,3)))))</f>
        <v/>
      </c>
      <c r="H91" s="2">
        <f>IF(OR(G91="",E91="",E91=0),"",ROUND(G91*F91/E91,2))</f>
        <v/>
      </c>
      <c r="I91" s="28" t="n"/>
      <c r="J91" s="28" t="n"/>
    </row>
    <row r="92">
      <c r="A92" s="28" t="n"/>
      <c r="B92" s="28" t="n"/>
      <c r="C92" s="28" t="n"/>
      <c r="D92" s="31" t="n"/>
      <c r="E92" s="4" t="n"/>
      <c r="F92" s="28" t="n"/>
      <c r="G92" s="2">
        <f>IF(D92="","",IF(D92&lt;300,1,IF(D92&lt;1000,2,IF(D92&lt;5000,4,IF(D92&lt;30000,5,3)))))</f>
        <v/>
      </c>
      <c r="H92" s="2">
        <f>IF(OR(G92="",E92="",E92=0),"",ROUND(G92*F92/E92,2))</f>
        <v/>
      </c>
      <c r="I92" s="28" t="n"/>
      <c r="J92" s="28" t="n"/>
    </row>
    <row r="93">
      <c r="A93" s="28" t="n"/>
      <c r="B93" s="28" t="n"/>
      <c r="C93" s="28" t="n"/>
      <c r="D93" s="31" t="n"/>
      <c r="E93" s="4" t="n"/>
      <c r="F93" s="28" t="n"/>
      <c r="G93" s="2">
        <f>IF(D93="","",IF(D93&lt;300,1,IF(D93&lt;1000,2,IF(D93&lt;5000,4,IF(D93&lt;30000,5,3)))))</f>
        <v/>
      </c>
      <c r="H93" s="2">
        <f>IF(OR(G93="",E93="",E93=0),"",ROUND(G93*F93/E93,2))</f>
        <v/>
      </c>
      <c r="I93" s="28" t="n"/>
      <c r="J93" s="28" t="n"/>
    </row>
    <row r="94">
      <c r="A94" s="28" t="n"/>
      <c r="B94" s="28" t="n"/>
      <c r="C94" s="28" t="n"/>
      <c r="D94" s="31" t="n"/>
      <c r="E94" s="4" t="n"/>
      <c r="F94" s="28" t="n"/>
      <c r="G94" s="2">
        <f>IF(D94="","",IF(D94&lt;300,1,IF(D94&lt;1000,2,IF(D94&lt;5000,4,IF(D94&lt;30000,5,3)))))</f>
        <v/>
      </c>
      <c r="H94" s="2">
        <f>IF(OR(G94="",E94="",E94=0),"",ROUND(G94*F94/E94,2))</f>
        <v/>
      </c>
      <c r="I94" s="28" t="n"/>
      <c r="J94" s="28" t="n"/>
    </row>
    <row r="95">
      <c r="A95" s="28" t="n"/>
      <c r="B95" s="28" t="n"/>
      <c r="C95" s="28" t="n"/>
      <c r="D95" s="31" t="n"/>
      <c r="E95" s="4" t="n"/>
      <c r="F95" s="28" t="n"/>
      <c r="G95" s="2">
        <f>IF(D95="","",IF(D95&lt;300,1,IF(D95&lt;1000,2,IF(D95&lt;5000,4,IF(D95&lt;30000,5,3)))))</f>
        <v/>
      </c>
      <c r="H95" s="2">
        <f>IF(OR(G95="",E95="",E95=0),"",ROUND(G95*F95/E95,2))</f>
        <v/>
      </c>
      <c r="I95" s="28" t="n"/>
      <c r="J95" s="28" t="n"/>
    </row>
    <row r="96">
      <c r="A96" s="28" t="n"/>
      <c r="B96" s="28" t="n"/>
      <c r="C96" s="28" t="n"/>
      <c r="D96" s="31" t="n"/>
      <c r="E96" s="4" t="n"/>
      <c r="F96" s="28" t="n"/>
      <c r="G96" s="2">
        <f>IF(D96="","",IF(D96&lt;300,1,IF(D96&lt;1000,2,IF(D96&lt;5000,4,IF(D96&lt;30000,5,3)))))</f>
        <v/>
      </c>
      <c r="H96" s="2">
        <f>IF(OR(G96="",E96="",E96=0),"",ROUND(G96*F96/E96,2))</f>
        <v/>
      </c>
      <c r="I96" s="28" t="n"/>
      <c r="J96" s="28" t="n"/>
    </row>
    <row r="97">
      <c r="A97" s="28" t="n"/>
      <c r="B97" s="28" t="n"/>
      <c r="C97" s="28" t="n"/>
      <c r="D97" s="31" t="n"/>
      <c r="E97" s="4" t="n"/>
      <c r="F97" s="28" t="n"/>
      <c r="G97" s="2">
        <f>IF(D97="","",IF(D97&lt;300,1,IF(D97&lt;1000,2,IF(D97&lt;5000,4,IF(D97&lt;30000,5,3)))))</f>
        <v/>
      </c>
      <c r="H97" s="2">
        <f>IF(OR(G97="",E97="",E97=0),"",ROUND(G97*F97/E97,2))</f>
        <v/>
      </c>
      <c r="I97" s="28" t="n"/>
      <c r="J97" s="28" t="n"/>
    </row>
    <row r="98">
      <c r="A98" s="28" t="n"/>
      <c r="B98" s="28" t="n"/>
      <c r="C98" s="28" t="n"/>
      <c r="D98" s="31" t="n"/>
      <c r="E98" s="4" t="n"/>
      <c r="F98" s="28" t="n"/>
      <c r="G98" s="2">
        <f>IF(D98="","",IF(D98&lt;300,1,IF(D98&lt;1000,2,IF(D98&lt;5000,4,IF(D98&lt;30000,5,3)))))</f>
        <v/>
      </c>
      <c r="H98" s="2">
        <f>IF(OR(G98="",E98="",E98=0),"",ROUND(G98*F98/E98,2))</f>
        <v/>
      </c>
      <c r="I98" s="28" t="n"/>
      <c r="J98" s="28" t="n"/>
    </row>
    <row r="99">
      <c r="A99" s="28" t="n"/>
      <c r="B99" s="28" t="n"/>
      <c r="C99" s="28" t="n"/>
      <c r="D99" s="31" t="n"/>
      <c r="E99" s="4" t="n"/>
      <c r="F99" s="28" t="n"/>
      <c r="G99" s="2">
        <f>IF(D99="","",IF(D99&lt;300,1,IF(D99&lt;1000,2,IF(D99&lt;5000,4,IF(D99&lt;30000,5,3)))))</f>
        <v/>
      </c>
      <c r="H99" s="2">
        <f>IF(OR(G99="",E99="",E99=0),"",ROUND(G99*F99/E99,2))</f>
        <v/>
      </c>
      <c r="I99" s="28" t="n"/>
      <c r="J99" s="28" t="n"/>
    </row>
    <row r="100">
      <c r="A100" s="28" t="n"/>
      <c r="B100" s="28" t="n"/>
      <c r="C100" s="28" t="n"/>
      <c r="D100" s="31" t="n"/>
      <c r="E100" s="4" t="n"/>
      <c r="F100" s="28" t="n"/>
      <c r="G100" s="2">
        <f>IF(D100="","",IF(D100&lt;300,1,IF(D100&lt;1000,2,IF(D100&lt;5000,4,IF(D100&lt;30000,5,3)))))</f>
        <v/>
      </c>
      <c r="H100" s="2">
        <f>IF(OR(G100="",E100="",E100=0),"",ROUND(G100*F100/E100,2))</f>
        <v/>
      </c>
      <c r="I100" s="28" t="n"/>
      <c r="J100" s="28" t="n"/>
    </row>
  </sheetData>
  <dataValidations count="2">
    <dataValidation sqref="B2:B200" showDropDown="0" showInputMessage="0" showErrorMessage="0" allowBlank="1" type="list">
      <formula1>"A.ISA,B.연금·절세,C.배당ETF,D.테마ETF,E.정책속보,기타"</formula1>
    </dataValidation>
    <dataValidation sqref="I2:I200" showDropDown="0" showInputMessage="0" showErrorMessage="0" allowBlank="1" type="list">
      <formula1>"대기,작성중,발행,업데이트필요"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8" customWidth="1" min="3" max="3"/>
    <col width="10" customWidth="1" min="4" max="4"/>
    <col width="10" customWidth="1" min="5" max="5"/>
    <col width="52" customWidth="1" min="6" max="6"/>
    <col width="10" customWidth="1" min="7" max="7"/>
    <col width="10" customWidth="1" min="8" max="8"/>
    <col width="8" customWidth="1" min="9" max="9"/>
  </cols>
  <sheetData>
    <row r="1" ht="32" customHeight="1">
      <c r="A1" s="6" t="inlineStr">
        <is>
          <t>주차</t>
        </is>
      </c>
      <c r="B1" s="6" t="inlineStr">
        <is>
          <t>시작일</t>
        </is>
      </c>
      <c r="C1" s="6" t="inlineStr">
        <is>
          <t>중점 작업</t>
        </is>
      </c>
      <c r="D1" s="6" t="inlineStr">
        <is>
          <t>네이버 발행 목표</t>
        </is>
      </c>
      <c r="E1" s="6" t="inlineStr">
        <is>
          <t>티스토리 발행 목표</t>
        </is>
      </c>
      <c r="F1" s="6" t="inlineStr">
        <is>
          <t>주요 글</t>
        </is>
      </c>
      <c r="G1" s="6" t="inlineStr">
        <is>
          <t>실제 발행(N)</t>
        </is>
      </c>
      <c r="H1" s="6" t="inlineStr">
        <is>
          <t>실제 발행(T)</t>
        </is>
      </c>
      <c r="I1" s="6" t="inlineStr">
        <is>
          <t>달성</t>
        </is>
      </c>
    </row>
    <row r="2">
      <c r="A2" s="7" t="n">
        <v>1</v>
      </c>
      <c r="B2" s="32" t="n">
        <v>46300</v>
      </c>
      <c r="C2" s="7" t="inlineStr">
        <is>
          <t>진단, 기술 점검, 키워드 백로그 30개</t>
        </is>
      </c>
      <c r="D2" s="7" t="n">
        <v>2</v>
      </c>
      <c r="E2" s="7" t="n">
        <v>1</v>
      </c>
      <c r="F2" s="7" t="inlineStr">
        <is>
          <t>ISA 개편 철회 정리 (속보, 가장 먼저)</t>
        </is>
      </c>
      <c r="G2" s="8" t="n"/>
      <c r="H2" s="8" t="n"/>
      <c r="I2" s="7">
        <f>IF(OR(G2="",H2=""),"",IF(AND(G2&gt;=D2,H2&gt;=E2),"O","X"))</f>
        <v/>
      </c>
    </row>
    <row r="3">
      <c r="A3" s="7" t="n">
        <v>2</v>
      </c>
      <c r="B3" s="32" t="n">
        <v>46307</v>
      </c>
      <c r="C3" s="7" t="inlineStr">
        <is>
          <t>기존 상위 10개 글 리라이팅</t>
        </is>
      </c>
      <c r="D3" s="7" t="n">
        <v>3</v>
      </c>
      <c r="E3" s="7" t="n">
        <v>2</v>
      </c>
      <c r="F3" s="7" t="inlineStr">
        <is>
          <t>ISA 허브 글 (티스토리)</t>
        </is>
      </c>
      <c r="G3" s="8" t="n"/>
      <c r="H3" s="8" t="n"/>
      <c r="I3" s="7">
        <f>IF(OR(G3="",H3=""),"",IF(AND(G3&gt;=D3,H3&gt;=E3),"O","X"))</f>
        <v/>
      </c>
    </row>
    <row r="4">
      <c r="A4" s="7" t="n">
        <v>3</v>
      </c>
      <c r="B4" s="32" t="n">
        <v>46314</v>
      </c>
      <c r="C4" s="7" t="inlineStr">
        <is>
          <t>클러스터 A 완성</t>
        </is>
      </c>
      <c r="D4" s="7" t="n">
        <v>3</v>
      </c>
      <c r="E4" s="7" t="n">
        <v>2</v>
      </c>
      <c r="F4" s="7" t="inlineStr">
        <is>
          <t>생산적금융 ISA vs 일반 ISA / ISA에 담을 ETF</t>
        </is>
      </c>
      <c r="G4" s="8" t="n"/>
      <c r="H4" s="8" t="n"/>
      <c r="I4" s="7">
        <f>IF(OR(G4="",H4=""),"",IF(AND(G4&gt;=D4,H4&gt;=E4),"O","X"))</f>
        <v/>
      </c>
    </row>
    <row r="5">
      <c r="A5" s="7" t="n">
        <v>4</v>
      </c>
      <c r="B5" s="32" t="n">
        <v>46321</v>
      </c>
      <c r="C5" s="7" t="inlineStr">
        <is>
          <t>1차 점검: CTR 낮은 글 제목 수정</t>
        </is>
      </c>
      <c r="D5" s="7" t="n">
        <v>3</v>
      </c>
      <c r="E5" s="7" t="n">
        <v>2</v>
      </c>
      <c r="F5" s="7" t="inlineStr">
        <is>
          <t>고배당 ETF 비교</t>
        </is>
      </c>
      <c r="G5" s="8" t="n"/>
      <c r="H5" s="8" t="n"/>
      <c r="I5" s="7">
        <f>IF(OR(G5="",H5=""),"",IF(AND(G5&gt;=D5,H5&gt;=E5),"O","X"))</f>
        <v/>
      </c>
    </row>
    <row r="6">
      <c r="A6" s="7" t="n">
        <v>5</v>
      </c>
      <c r="B6" s="32" t="n">
        <v>46328</v>
      </c>
      <c r="C6" s="7" t="inlineStr">
        <is>
          <t>클러스터 C</t>
        </is>
      </c>
      <c r="D6" s="7" t="n">
        <v>3</v>
      </c>
      <c r="E6" s="7" t="n">
        <v>2</v>
      </c>
      <c r="F6" s="7" t="inlineStr">
        <is>
          <t>월배당·커버드콜 ETF</t>
        </is>
      </c>
      <c r="G6" s="8" t="n"/>
      <c r="H6" s="8" t="n"/>
      <c r="I6" s="7">
        <f>IF(OR(G6="",H6=""),"",IF(AND(G6&gt;=D6,H6&gt;=E6),"O","X"))</f>
        <v/>
      </c>
    </row>
    <row r="7">
      <c r="A7" s="7" t="n">
        <v>6</v>
      </c>
      <c r="B7" s="32" t="n">
        <v>46335</v>
      </c>
      <c r="C7" s="7" t="inlineStr">
        <is>
          <t>클러스터 B 시작 (연말 수요 선점)</t>
        </is>
      </c>
      <c r="D7" s="7" t="n">
        <v>3</v>
      </c>
      <c r="E7" s="7" t="n">
        <v>2</v>
      </c>
      <c r="F7" s="7" t="inlineStr">
        <is>
          <t>연금저축·IRP ETF 허브</t>
        </is>
      </c>
      <c r="G7" s="8" t="n"/>
      <c r="H7" s="8" t="n"/>
      <c r="I7" s="7">
        <f>IF(OR(G7="",H7=""),"",IF(AND(G7&gt;=D7,H7&gt;=E7),"O","X"))</f>
        <v/>
      </c>
    </row>
    <row r="8">
      <c r="A8" s="7" t="n">
        <v>7</v>
      </c>
      <c r="B8" s="32" t="n">
        <v>46342</v>
      </c>
      <c r="C8" s="7" t="inlineStr">
        <is>
          <t>클러스터 B</t>
        </is>
      </c>
      <c r="D8" s="7" t="n">
        <v>3</v>
      </c>
      <c r="E8" s="7" t="n">
        <v>2</v>
      </c>
      <c r="F8" s="7" t="inlineStr">
        <is>
          <t>세액공제 계산 / ISA→연금 이체</t>
        </is>
      </c>
      <c r="G8" s="8" t="n"/>
      <c r="H8" s="8" t="n"/>
      <c r="I8" s="7">
        <f>IF(OR(G8="",H8=""),"",IF(AND(G8&gt;=D8,H8&gt;=E8),"O","X"))</f>
        <v/>
      </c>
    </row>
    <row r="9">
      <c r="A9" s="7" t="n">
        <v>8</v>
      </c>
      <c r="B9" s="32" t="n">
        <v>46349</v>
      </c>
      <c r="C9" s="7" t="inlineStr">
        <is>
          <t>2차 점검: 게재순위 8~20위 보강</t>
        </is>
      </c>
      <c r="D9" s="7" t="n">
        <v>3</v>
      </c>
      <c r="E9" s="7" t="n">
        <v>2</v>
      </c>
      <c r="F9" s="7" t="inlineStr">
        <is>
          <t>연말 절세 체크리스트</t>
        </is>
      </c>
      <c r="G9" s="8" t="n"/>
      <c r="H9" s="8" t="n"/>
      <c r="I9" s="7">
        <f>IF(OR(G9="",H9=""),"",IF(AND(G9&gt;=D9,H9&gt;=E9),"O","X"))</f>
        <v/>
      </c>
    </row>
    <row r="10">
      <c r="A10" s="7" t="n">
        <v>9</v>
      </c>
      <c r="B10" s="32" t="n">
        <v>46356</v>
      </c>
      <c r="C10" s="7" t="inlineStr">
        <is>
          <t>정기국회 세법 처리 속보 + ISA 글 업데이트</t>
        </is>
      </c>
      <c r="D10" s="7" t="n">
        <v>4</v>
      </c>
      <c r="E10" s="7" t="n">
        <v>2</v>
      </c>
      <c r="F10" s="7" t="inlineStr">
        <is>
          <t>세제개편안 확정 정리</t>
        </is>
      </c>
      <c r="G10" s="8" t="n"/>
      <c r="H10" s="8" t="n"/>
      <c r="I10" s="7">
        <f>IF(OR(G10="",H10=""),"",IF(AND(G10&gt;=D10,H10&gt;=E10),"O","X"))</f>
        <v/>
      </c>
    </row>
    <row r="11">
      <c r="A11" s="7" t="n">
        <v>10</v>
      </c>
      <c r="B11" s="32" t="n">
        <v>46363</v>
      </c>
      <c r="C11" s="7" t="inlineStr">
        <is>
          <t>클러스터 D</t>
        </is>
      </c>
      <c r="D11" s="7" t="n">
        <v>3</v>
      </c>
      <c r="E11" s="7" t="n">
        <v>2</v>
      </c>
      <c r="F11" s="7" t="inlineStr">
        <is>
          <t>신규 상장 ETF 월간 정리</t>
        </is>
      </c>
      <c r="G11" s="8" t="n"/>
      <c r="H11" s="8" t="n"/>
      <c r="I11" s="7">
        <f>IF(OR(G11="",H11=""),"",IF(AND(G11&gt;=D11,H11&gt;=E11),"O","X"))</f>
        <v/>
      </c>
    </row>
    <row r="12">
      <c r="A12" s="7" t="n">
        <v>11</v>
      </c>
      <c r="B12" s="32" t="n">
        <v>46370</v>
      </c>
      <c r="C12" s="7" t="inlineStr">
        <is>
          <t>12월 마감 절세, 배당 기준일</t>
        </is>
      </c>
      <c r="D12" s="7" t="n">
        <v>3</v>
      </c>
      <c r="E12" s="7" t="n">
        <v>2</v>
      </c>
      <c r="F12" s="7" t="inlineStr">
        <is>
          <t>12/31 전에 할 일 / 배당 기준일</t>
        </is>
      </c>
      <c r="G12" s="8" t="n"/>
      <c r="H12" s="8" t="n"/>
      <c r="I12" s="7">
        <f>IF(OR(G12="",H12=""),"",IF(AND(G12&gt;=D12,H12&gt;=E12),"O","X"))</f>
        <v/>
      </c>
    </row>
    <row r="13">
      <c r="A13" s="7" t="n">
        <v>12</v>
      </c>
      <c r="B13" s="32" t="n">
        <v>46377</v>
      </c>
      <c r="C13" s="7" t="inlineStr">
        <is>
          <t>최종 점검, 2027년 1분기 계획</t>
        </is>
      </c>
      <c r="D13" s="7" t="n">
        <v>3</v>
      </c>
      <c r="E13" s="7" t="n">
        <v>2</v>
      </c>
      <c r="F13" s="7" t="inlineStr">
        <is>
          <t>연말정산 대비 글 준비</t>
        </is>
      </c>
      <c r="G13" s="8" t="n"/>
      <c r="H13" s="8" t="n"/>
      <c r="I13" s="7">
        <f>IF(OR(G13="",H13=""),"",IF(AND(G13&gt;=D13,H13&gt;=E13),"O","X"))</f>
        <v/>
      </c>
    </row>
    <row r="14">
      <c r="C14" s="3" t="inlineStr">
        <is>
          <t>합계</t>
        </is>
      </c>
      <c r="D14" s="3">
        <f>SUM(D2:D13)</f>
        <v/>
      </c>
      <c r="E14" s="3">
        <f>SUM(E2:E13)</f>
        <v/>
      </c>
      <c r="G14" s="3">
        <f>SUM(G2:G13)</f>
        <v/>
      </c>
      <c r="H14" s="3">
        <f>SUM(H2:H13)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2026-09-28T11:59:58Z</dcterms:created>
  <dcterms:modified xsi:type="dcterms:W3CDTF">2026-09-28T12:13:01Z</dcterms:modified>
</cp:coreProperties>
</file>